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roject Overview" sheetId="2" state="visible" r:id="rId4"/>
    <sheet name="Product Roadmap" sheetId="3" state="visible" r:id="rId5"/>
    <sheet name="Epic Backlog" sheetId="4" state="visible" r:id="rId6"/>
    <sheet name="Feature Backlog" sheetId="5" state="visible" r:id="rId7"/>
    <sheet name="Product Backlog" sheetId="6" state="visible" r:id="rId8"/>
    <sheet name="Sprint Backlog" sheetId="7" state="visible" r:id="rId9"/>
    <sheet name="Technical Backlog" sheetId="8" state="visible" r:id="rId10"/>
    <sheet name="Architecture &amp; Decisions" sheetId="9" state="visible" r:id="rId11"/>
    <sheet name="Data Model" sheetId="10" state="visible" r:id="rId12"/>
    <sheet name="API Contracts" sheetId="11" state="visible" r:id="rId13"/>
    <sheet name="QA &amp; Testing" sheetId="12" state="visible" r:id="rId14"/>
    <sheet name="DevOps &amp; Deploy" sheetId="13" state="visible" r:id="rId15"/>
    <sheet name="Risk Register" sheetId="14" state="visible" r:id="rId16"/>
    <sheet name="Future Improvements" sheetId="15" state="visible" r:id="rId17"/>
    <sheet name="PM Import" sheetId="16" state="visible" r:id="rId18"/>
    <sheet name="Agile &amp; AI Practices" sheetId="17" state="visible" r:id="rId19"/>
    <sheet name="Gaps &amp; Assumptions" sheetId="18" state="visible" r:id="rId20"/>
  </sheets>
  <definedNames>
    <definedName function="false" hidden="true" localSheetId="16" name="_xlnm._FilterDatabase" vbProcedure="false">'Agile &amp; AI Practices'!$A$1:$B$11</definedName>
    <definedName function="false" hidden="true" localSheetId="10" name="_xlnm._FilterDatabase" vbProcedure="false">'API Contracts'!$A$1:$H$15</definedName>
    <definedName function="false" hidden="true" localSheetId="8" name="_xlnm._FilterDatabase" vbProcedure="false">'Architecture &amp; Decisions'!$A$1:$D$20</definedName>
    <definedName function="false" hidden="true" localSheetId="9" name="_xlnm._FilterDatabase" vbProcedure="false">'Data Model'!$A$1:$E$16</definedName>
    <definedName function="false" hidden="true" localSheetId="12" name="_xlnm._FilterDatabase" vbProcedure="false">'DevOps &amp; Deploy'!$A$1:$B$13</definedName>
    <definedName function="false" hidden="true" localSheetId="3" name="_xlnm._FilterDatabase" vbProcedure="false">'Epic Backlog'!$A$1:$K$15</definedName>
    <definedName function="false" hidden="true" localSheetId="4" name="_xlnm._FilterDatabase" vbProcedure="false">'Feature Backlog'!$A$1:$H$50</definedName>
    <definedName function="false" hidden="true" localSheetId="14" name="_xlnm._FilterDatabase" vbProcedure="false">'Future Improvements'!$A$1:$B$13</definedName>
    <definedName function="false" hidden="true" localSheetId="17" name="_xlnm._FilterDatabase" vbProcedure="false">'Gaps &amp; Assumptions'!$A$1:$E$16</definedName>
    <definedName function="false" hidden="true" localSheetId="15" name="_xlnm._FilterDatabase" vbProcedure="false">'PM Import'!$A$1:$K$161</definedName>
    <definedName function="false" hidden="true" localSheetId="5" name="_xlnm._FilterDatabase" vbProcedure="false">'Product Backlog'!$A$1:$N$68</definedName>
    <definedName function="false" hidden="true" localSheetId="2" name="_xlnm._FilterDatabase" vbProcedure="false">'Product Roadmap'!$A$1:$J$5</definedName>
    <definedName function="false" hidden="true" localSheetId="1" name="_xlnm._FilterDatabase" vbProcedure="false">'Project Overview'!$A$1:$B$10</definedName>
    <definedName function="false" hidden="true" localSheetId="11" name="_xlnm._FilterDatabase" vbProcedure="false">'QA &amp; Testing'!$A$1:$H$15</definedName>
    <definedName function="false" hidden="true" localSheetId="13" name="_xlnm._FilterDatabase" vbProcedure="false">'Risk Register'!$A$1:$E$13</definedName>
    <definedName function="false" hidden="true" localSheetId="6" name="_xlnm._FilterDatabase" vbProcedure="false">'Sprint Backlog'!$A$1:$J$11</definedName>
    <definedName function="false" hidden="true" localSheetId="7" name="_xlnm._FilterDatabase" vbProcedure="false">'Technical Backlog'!$A$1:$H$30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<sst xmlns="http://schemas.openxmlformats.org/spreadsheetml/2006/main" count="3701" uniqueCount="1457">
  <si>
    <t xml:space="preserve">Task Buddy - Delivery Blueprint Workbook</t>
  </si>
  <si>
    <t xml:space="preserve">AI-powered to-do app for React Native + Expo. Generated with the /delivery-blueprint workflow. Project key: TB.</t>
  </si>
  <si>
    <t xml:space="preserve">At a glance (live formulas)</t>
  </si>
  <si>
    <t xml:space="preserve">Stories in backlog</t>
  </si>
  <si>
    <t xml:space="preserve">Total story points</t>
  </si>
  <si>
    <t xml:space="preserve">MVP points (Phase = MVP)</t>
  </si>
  <si>
    <t xml:space="preserve">Planned sprints</t>
  </si>
  <si>
    <t xml:space="preserve">Sprint capacity (points/sprint) - input</t>
  </si>
  <si>
    <t xml:space="preserve">Sprint 1 start date - input</t>
  </si>
  <si>
    <t xml:space="preserve">Legends</t>
  </si>
  <si>
    <t xml:space="preserve">Status flow</t>
  </si>
  <si>
    <t xml:space="preserve">Draft &gt; Ready &gt; In Progress &gt; Blocked &gt; Code Review &gt; QA Testing &gt; UAT &gt; Done</t>
  </si>
  <si>
    <t xml:space="preserve">Priority</t>
  </si>
  <si>
    <t xml:space="preserve">P0 critical path (Highest) | P1 high | P2 medium | P3 nice-to-have (Low)</t>
  </si>
  <si>
    <t xml:space="preserve">Points</t>
  </si>
  <si>
    <t xml:space="preserve">Fibonacci (1,2,3,5,8). Stories above 8 must be split.</t>
  </si>
  <si>
    <t xml:space="preserve">Waves</t>
  </si>
  <si>
    <t xml:space="preserve">Sequence bands derived from the dependency-ordered sprint plan; workstreams run in parallel inside a wave.</t>
  </si>
  <si>
    <t xml:space="preserve">Branch</t>
  </si>
  <si>
    <t xml:space="preserve">&lt;type&gt;/tb-&lt;ticket&gt;/&lt;short-kebab-title&gt;  e.g. feat/tb-015/quick-add-preview</t>
  </si>
  <si>
    <t xml:space="preserve">Commit</t>
  </si>
  <si>
    <t xml:space="preserve">Conventional Commits: feat(capture): add parse preview (TB-015)</t>
  </si>
  <si>
    <t xml:space="preserve">Blue text</t>
  </si>
  <si>
    <t xml:space="preserve">Input cell you can change (capacity, start date); totals recalculate.</t>
  </si>
  <si>
    <t xml:space="preserve">Wave 1 - Foundations &amp; Identity</t>
  </si>
  <si>
    <t xml:space="preserve">Repo, tooling, design system, local data layer, Supabase, sign-in</t>
  </si>
  <si>
    <t xml:space="preserve">Wave 2 - Task Core + AI Gateway &amp; Guardrails</t>
  </si>
  <si>
    <t xml:space="preserve">Task CRUD/screens plus the AI gateway with rate limits, quotas, output contracts and injection hardening</t>
  </si>
  <si>
    <t xml:space="preserve">Wave 3 - Core AI Value</t>
  </si>
  <si>
    <t xml:space="preserve">Natural-language capture, task breakdown, smart daily plan, beta distribution</t>
  </si>
  <si>
    <t xml:space="preserve">Wave 4 - Retain &amp; Engage</t>
  </si>
  <si>
    <t xml:space="preserve">Notifications, buddy check-ins, sync, recurring tasks, procrastination helper, onboarding, compliance</t>
  </si>
  <si>
    <t xml:space="preserve">Wave 5 - Channels &amp; Intelligence</t>
  </si>
  <si>
    <t xml:space="preserve">Buddy chat, voice, photo, weekly review, accessibility, v1.0 store release</t>
  </si>
  <si>
    <t xml:space="preserve">Wave 6 - Platform &amp; Ecosystem</t>
  </si>
  <si>
    <t xml:space="preserve">Shared Spaces (multiplayer AI), billing, calendar, widgets, on-device AI</t>
  </si>
  <si>
    <t xml:space="preserve">Workstreams</t>
  </si>
  <si>
    <t xml:space="preserve">WS-A</t>
  </si>
  <si>
    <t xml:space="preserve">Mobile App (UI &amp; UX)</t>
  </si>
  <si>
    <t xml:space="preserve">WS-B</t>
  </si>
  <si>
    <t xml:space="preserve">Data, Auth &amp; Sync</t>
  </si>
  <si>
    <t xml:space="preserve">WS-C</t>
  </si>
  <si>
    <t xml:space="preserve">AI &amp; Backend (Edge Functions)</t>
  </si>
  <si>
    <t xml:space="preserve">WS-D</t>
  </si>
  <si>
    <t xml:space="preserve">Platform, DevOps &amp; Release</t>
  </si>
  <si>
    <t xml:space="preserve">WS-E</t>
  </si>
  <si>
    <t xml:space="preserve">Quality &amp; Accessibility</t>
  </si>
  <si>
    <t xml:space="preserve">Tabs</t>
  </si>
  <si>
    <t xml:space="preserve">Project Overview</t>
  </si>
  <si>
    <t xml:space="preserve">Product Roadmap</t>
  </si>
  <si>
    <t xml:space="preserve">Epic Backlog</t>
  </si>
  <si>
    <t xml:space="preserve">Feature Backlog</t>
  </si>
  <si>
    <t xml:space="preserve">Product Backlog</t>
  </si>
  <si>
    <t xml:space="preserve">Sprint Backlog</t>
  </si>
  <si>
    <t xml:space="preserve">Technical Backlog</t>
  </si>
  <si>
    <t xml:space="preserve">Architecture &amp; Decisions</t>
  </si>
  <si>
    <t xml:space="preserve">Data Model</t>
  </si>
  <si>
    <t xml:space="preserve">API Contracts</t>
  </si>
  <si>
    <t xml:space="preserve">QA &amp; Testing</t>
  </si>
  <si>
    <t xml:space="preserve">DevOps &amp; Deploy</t>
  </si>
  <si>
    <t xml:space="preserve">Risk Register</t>
  </si>
  <si>
    <t xml:space="preserve">Future Improvements</t>
  </si>
  <si>
    <t xml:space="preserve">PM Import</t>
  </si>
  <si>
    <t xml:space="preserve">Agile &amp; AI Practices</t>
  </si>
  <si>
    <t xml:space="preserve">Gaps &amp; Assumptions</t>
  </si>
  <si>
    <t xml:space="preserve">Item</t>
  </si>
  <si>
    <t xml:space="preserve">Detail</t>
  </si>
  <si>
    <t xml:space="preserve">Product</t>
  </si>
  <si>
    <t xml:space="preserve">Task Buddy - an AI to-do app that turns sentences, voice and photos into organized, scheduled tasks and nudges you to finish them.</t>
  </si>
  <si>
    <t xml:space="preserve">Summary</t>
  </si>
  <si>
    <t xml:space="preserve">Local-first React Native (Expo) app. A server-side AI gateway handles capture parsing, task breakdown, daily planning, check-ins, chat and weekly review. Later phases add voice/photo, Shared Spaces where people and an AI agent collaborate, billing, calendar, widgets and optional on-device AI.</t>
  </si>
  <si>
    <t xml:space="preserve">Objectives</t>
  </si>
  <si>
    <t xml:space="preserve">1) MVP in about 2 weeks: sign in, tasks, natural-language capture, AI breakdown.
2) v1.0 store release by Sprint 7 with plan, reminders, check-ins, voice/photo, weekly review, compliance.
3) Shared Spaces (multiplayer AI) and Pro tier in Phase 3.</t>
  </si>
  <si>
    <t xml:space="preserve">Target users</t>
  </si>
  <si>
    <t xml:space="preserve">Busy individuals who capture tasks in messy language (English/Taglish), students and young professionals, and later small teams/families sharing a space.</t>
  </si>
  <si>
    <t xml:space="preserve">KPI (proposed targets)</t>
  </si>
  <si>
    <t xml:space="preserve">Activation: first AI-created task within 24h of signup &gt;= 60%
AI parse accuracy on golden set &gt;= 90%
AI p95 latency &lt; 6 s (parse/breakdown)
Crash-free sessions &gt;= 99.5%
D7 retention &gt;= 25%
AI cost per active user per month under a budget set after 4 weeks of ledger data</t>
  </si>
  <si>
    <t xml:space="preserve">Constraints</t>
  </si>
  <si>
    <t xml:space="preserve">Solo developer with AI coding agents; 30 pts/sprint; LLM key server-side only; works offline for core task use; store policy compliance (account deletion, AI disclosure).</t>
  </si>
  <si>
    <t xml:space="preserve">Assumptions</t>
  </si>
  <si>
    <t xml:space="preserve">See 'Gaps &amp; Assumptions' tab.</t>
  </si>
  <si>
    <t xml:space="preserve">Top risks</t>
  </si>
  <si>
    <t xml:space="preserve">See 'Risk Register' tab: AI cost, prompt injection, sync data loss, store rejection, solo capacity.</t>
  </si>
  <si>
    <t xml:space="preserve">Stack (locked)</t>
  </si>
  <si>
    <t xml:space="preserve">Expo + RN + TypeScript, Expo Router, NativeWind, Zustand + TanStack Query, RHF + Zod, expo-sqlite + Drizzle, Supabase (Auth/Postgres/Realtime/Storage/Edge Functions), Claude via gateway, expo-notifications, expo-speech-recognition, RevenueCat, Sentry, PostHog, Jest + RNTL + Maestro, GitHub Actions + EAS.</t>
  </si>
  <si>
    <t xml:space="preserve">Phase</t>
  </si>
  <si>
    <t xml:space="preserve">Sprints</t>
  </si>
  <si>
    <t xml:space="preserve">Start</t>
  </si>
  <si>
    <t xml:space="preserve">End</t>
  </si>
  <si>
    <t xml:space="preserve">Goal</t>
  </si>
  <si>
    <t xml:space="preserve">Key outcomes</t>
  </si>
  <si>
    <t xml:space="preserve">Priority focus</t>
  </si>
  <si>
    <t xml:space="preserve">Dependencies</t>
  </si>
  <si>
    <t xml:space="preserve">Release target</t>
  </si>
  <si>
    <t xml:space="preserve">MVP</t>
  </si>
  <si>
    <t xml:space="preserve">Sprint 1-2</t>
  </si>
  <si>
    <t xml:space="preserve">Capture and breakdown on a solid base</t>
  </si>
  <si>
    <t xml:space="preserve">Sign in, tasks, quick-add, AI breakdown, AI gateway with guardrails</t>
  </si>
  <si>
    <t xml:space="preserve">P0/P1</t>
  </si>
  <si>
    <t xml:space="preserve">See Epic Backlog</t>
  </si>
  <si>
    <t xml:space="preserve">Internal MVP</t>
  </si>
  <si>
    <t xml:space="preserve">Phase 2a - Beta</t>
  </si>
  <si>
    <t xml:space="preserve">Sprint 3-5</t>
  </si>
  <si>
    <t xml:space="preserve">Plan, retain and engage</t>
  </si>
  <si>
    <t xml:space="preserve">Daily plan, undo, evals, TestFlight/Play beta, reminders, sync, lists, recurring, push, check-ins, onboarding, E2E</t>
  </si>
  <si>
    <t xml:space="preserve">Private beta (Sprint 3 onward)</t>
  </si>
  <si>
    <t xml:space="preserve">Phase 2b - v1.0</t>
  </si>
  <si>
    <t xml:space="preserve">Sprint 6-7</t>
  </si>
  <si>
    <t xml:space="preserve">Channels, intelligence and launch</t>
  </si>
  <si>
    <t xml:space="preserve">Compliance, buddy chat, voice, photo, weekly review, accessibility, performance, analytics</t>
  </si>
  <si>
    <t xml:space="preserve">P1/P2</t>
  </si>
  <si>
    <t xml:space="preserve">v1.0 store release (end Sprint 7)</t>
  </si>
  <si>
    <t xml:space="preserve">Phase 3 - Platform</t>
  </si>
  <si>
    <t xml:space="preserve">Sprint 8-10</t>
  </si>
  <si>
    <t xml:space="preserve">Shared Spaces and monetization</t>
  </si>
  <si>
    <t xml:space="preserve">Spaces, shared lists, shared AI agent with permissions and audit, billing, calendar, widgets, on-device AI</t>
  </si>
  <si>
    <t xml:space="preserve">Spaces beta (Sprint 9), Pro tier (Sprint 10)</t>
  </si>
  <si>
    <t xml:space="preserve">Epic ID</t>
  </si>
  <si>
    <t xml:space="preserve">Name</t>
  </si>
  <si>
    <t xml:space="preserve">Description</t>
  </si>
  <si>
    <t xml:space="preserve">Business Value</t>
  </si>
  <si>
    <t xml:space="preserve">Acceptance Criteria</t>
  </si>
  <si>
    <t xml:space="preserve">Stories</t>
  </si>
  <si>
    <t xml:space="preserve">Status</t>
  </si>
  <si>
    <t xml:space="preserve">EP-01</t>
  </si>
  <si>
    <t xml:space="preserve">Foundations &amp; DevOps</t>
  </si>
  <si>
    <t xml:space="preserve">Repository, tooling, CI/CD, design system and navigation shell.</t>
  </si>
  <si>
    <t xml:space="preserve">Every later story depends on a consistent, testable, shippable base.</t>
  </si>
  <si>
    <t xml:space="preserve">P0</t>
  </si>
  <si>
    <t xml:space="preserve">1</t>
  </si>
  <si>
    <t xml:space="preserve">-</t>
  </si>
  <si>
    <t xml:space="preserve">Clean clone boots on iOS+Android; CI green on PR; dev-client build installs.</t>
  </si>
  <si>
    <t xml:space="preserve">Draft</t>
  </si>
  <si>
    <t xml:space="preserve">EP-02</t>
  </si>
  <si>
    <t xml:space="preserve">Auth &amp; Accounts</t>
  </si>
  <si>
    <t xml:space="preserve">Supabase backend baseline, email OTP and social sign-in, settings.</t>
  </si>
  <si>
    <t xml:space="preserve">Identity is required for AI quotas, sync, push and shared spaces.</t>
  </si>
  <si>
    <t xml:space="preserve">User can sign in/out; sessions persist; RLS blocks cross-user reads.</t>
  </si>
  <si>
    <t xml:space="preserve">EP-03</t>
  </si>
  <si>
    <t xml:space="preserve">Task Core &amp; Sync</t>
  </si>
  <si>
    <t xml:space="preserve">Local-first task data, CRUD screens, lists/tags/search, recurring tasks, offline sync.</t>
  </si>
  <si>
    <t xml:space="preserve">The app is a to-do list first; it must be fast, offline-capable and reliable.</t>
  </si>
  <si>
    <t xml:space="preserve">1-4</t>
  </si>
  <si>
    <t xml:space="preserve">Tasks work fully offline; sync converges across two devices with no data loss.</t>
  </si>
  <si>
    <t xml:space="preserve">EP-04</t>
  </si>
  <si>
    <t xml:space="preserve">AI Gateway &amp; Guardrails</t>
  </si>
  <si>
    <t xml:space="preserve">Single Edge Function gateway to the LLM with auth, rate limits, quotas, output contracts, injection hardening, optional on-device inference.</t>
  </si>
  <si>
    <t xml:space="preserve">Keeps API keys off devices, caps cost, and makes AI output safe and typed.</t>
  </si>
  <si>
    <t xml:space="preserve">2</t>
  </si>
  <si>
    <t xml:space="preserve">No AI call reaches the provider without auth, quota check and validated schema.</t>
  </si>
  <si>
    <t xml:space="preserve">EP-05</t>
  </si>
  <si>
    <t xml:space="preserve">Natural-Language Capture</t>
  </si>
  <si>
    <t xml:space="preserve">Type a sentence, get structured tasks with dates, priorities and lists.</t>
  </si>
  <si>
    <t xml:space="preserve">Headline feature: capture friction drops to a single sentence.</t>
  </si>
  <si>
    <t xml:space="preserve">3</t>
  </si>
  <si>
    <t xml:space="preserve">EP-03, EP-04</t>
  </si>
  <si>
    <t xml:space="preserve">&gt;=90% of golden-set sentences produce correct task count and due dates.</t>
  </si>
  <si>
    <t xml:space="preserve">EP-06</t>
  </si>
  <si>
    <t xml:space="preserve">AI Task Breakdown</t>
  </si>
  <si>
    <t xml:space="preserve">Break a vague task into subtasks with time estimates.</t>
  </si>
  <si>
    <t xml:space="preserve">Turns overwhelming tasks into actionable steps; reduces procrastination.</t>
  </si>
  <si>
    <t xml:space="preserve">P1</t>
  </si>
  <si>
    <t xml:space="preserve">Breakdown returns 3-8 actionable subtasks the user can accept or regenerate.</t>
  </si>
  <si>
    <t xml:space="preserve">EP-07</t>
  </si>
  <si>
    <t xml:space="preserve">Smart Daily Plan</t>
  </si>
  <si>
    <t xml:space="preserve">Work-hours settings, AI daily schedule, plan UI and re-planning on missed tasks.</t>
  </si>
  <si>
    <t xml:space="preserve">Daily habit loop: open app, see a realistic plan.</t>
  </si>
  <si>
    <t xml:space="preserve">3-4</t>
  </si>
  <si>
    <t xml:space="preserve">Plan fits within available hours and respects due dates; re-plan after overdue.</t>
  </si>
  <si>
    <t xml:space="preserve">EP-08</t>
  </si>
  <si>
    <t xml:space="preserve">Notifications &amp; Buddy Check-ins</t>
  </si>
  <si>
    <t xml:space="preserve">Local reminders, permission flow, push infrastructure, contextual AI check-ins with quick actions.</t>
  </si>
  <si>
    <t xml:space="preserve">Retention engine; the 'buddy' personality lives here.</t>
  </si>
  <si>
    <t xml:space="preserve">4</t>
  </si>
  <si>
    <t xml:space="preserve">Reminders fire on time offline; check-ins respect quiet hours and caps.</t>
  </si>
  <si>
    <t xml:space="preserve">EP-09</t>
  </si>
  <si>
    <t xml:space="preserve">Procrastination Helper &amp; Buddy Chat</t>
  </si>
  <si>
    <t xml:space="preserve">Detect repeatedly postponed tasks, suggest starter steps, chat assistant with confirmed actions, personality settings.</t>
  </si>
  <si>
    <t xml:space="preserve">Differentiator: the app helps you finish, not just list.</t>
  </si>
  <si>
    <t xml:space="preserve">4-5</t>
  </si>
  <si>
    <t xml:space="preserve">EP-04, EP-08</t>
  </si>
  <si>
    <t xml:space="preserve">Chat can propose add/complete/reschedule and only executes after user confirmation.</t>
  </si>
  <si>
    <t xml:space="preserve">EP-10</t>
  </si>
  <si>
    <t xml:space="preserve">Voice &amp; Photo Capture</t>
  </si>
  <si>
    <t xml:space="preserve">Voice-to-tasks via on-device speech recognition and photo-to-tasks via vision, with media privacy controls.</t>
  </si>
  <si>
    <t xml:space="preserve">Capture anywhere: hands-free and from handwritten lists.</t>
  </si>
  <si>
    <t xml:space="preserve">5</t>
  </si>
  <si>
    <t xml:space="preserve">Voice and photo feed the same review screen; raw media deleted within 24h.</t>
  </si>
  <si>
    <t xml:space="preserve">EP-11</t>
  </si>
  <si>
    <t xml:space="preserve">Weekly Review &amp; Insights</t>
  </si>
  <si>
    <t xml:space="preserve">Weekly stats and AI-written review of wins, slips and patterns.</t>
  </si>
  <si>
    <t xml:space="preserve">Reflection loop that builds long-term retention.</t>
  </si>
  <si>
    <t xml:space="preserve">P2</t>
  </si>
  <si>
    <t xml:space="preserve">Review generates in &lt;15s from real stats and cites only real data.</t>
  </si>
  <si>
    <t xml:space="preserve">EP-12</t>
  </si>
  <si>
    <t xml:space="preserve">Shared Spaces (Multiplayer AI)</t>
  </si>
  <si>
    <t xml:space="preserve">Shared spaces with members, realtime shared lists, assignment, a shared AI agent with scoped permissions and audit log.</t>
  </si>
  <si>
    <t xml:space="preserve">Strategic: humans and an AI agent collaborating in one shared space.</t>
  </si>
  <si>
    <t xml:space="preserve">6</t>
  </si>
  <si>
    <t xml:space="preserve">EP-03, EP-04, EP-08</t>
  </si>
  <si>
    <t xml:space="preserve">Two members see changes in &lt;2s; agent actions are permissioned, confirmable and audited.</t>
  </si>
  <si>
    <t xml:space="preserve">EP-13</t>
  </si>
  <si>
    <t xml:space="preserve">Monetization, Compliance &amp; Release</t>
  </si>
  <si>
    <t xml:space="preserve">Beta distribution, onboarding, privacy/compliance, store release, billing tiers, calendar, widgets.</t>
  </si>
  <si>
    <t xml:space="preserve">Gets the app legally and commercially into users' hands.</t>
  </si>
  <si>
    <t xml:space="preserve">3-6</t>
  </si>
  <si>
    <t xml:space="preserve">EP-01, EP-02</t>
  </si>
  <si>
    <t xml:space="preserve">v1.0 passes store review; account deletion and data export work; Pro tier unlocks quotas.</t>
  </si>
  <si>
    <t xml:space="preserve">EP-14</t>
  </si>
  <si>
    <t xml:space="preserve">Quality, Observability &amp; Accessibility</t>
  </si>
  <si>
    <t xml:space="preserve">Crash reporting, E2E tests, AI evals, analytics, accessibility, i18n, performance.</t>
  </si>
  <si>
    <t xml:space="preserve">Keeps AI quality, stability and inclusivity measurable.</t>
  </si>
  <si>
    <t xml:space="preserve">3-5</t>
  </si>
  <si>
    <t xml:space="preserve">Crash-free sessions &gt;=99.5%; AI eval suite gates CI; WCAG-aligned labels and dynamic type.</t>
  </si>
  <si>
    <t xml:space="preserve">Feature ID</t>
  </si>
  <si>
    <t xml:space="preserve">Epic</t>
  </si>
  <si>
    <t xml:space="preserve">Complexity</t>
  </si>
  <si>
    <t xml:space="preserve">FT-01</t>
  </si>
  <si>
    <t xml:space="preserve">Project scaffold &amp; tooling</t>
  </si>
  <si>
    <t xml:space="preserve">Expo + TS + Router, lint, typecheck, aliases.</t>
  </si>
  <si>
    <t xml:space="preserve">S</t>
  </si>
  <si>
    <t xml:space="preserve">FT-02</t>
  </si>
  <si>
    <t xml:space="preserve">CI/CD &amp; build profiles</t>
  </si>
  <si>
    <t xml:space="preserve">GitHub Actions, EAS profiles, dev client.</t>
  </si>
  <si>
    <t xml:space="preserve">FT-03</t>
  </si>
  <si>
    <t xml:space="preserve">Design system &amp; navigation shell</t>
  </si>
  <si>
    <t xml:space="preserve">Tokens, primitives, tab/modal shell.</t>
  </si>
  <si>
    <t xml:space="preserve">M</t>
  </si>
  <si>
    <t xml:space="preserve">FT-06</t>
  </si>
  <si>
    <t xml:space="preserve">Supabase backend baseline</t>
  </si>
  <si>
    <t xml:space="preserve">Projects, env, RLS baseline, types.</t>
  </si>
  <si>
    <t xml:space="preserve">FT-04</t>
  </si>
  <si>
    <t xml:space="preserve">Email OTP sign-in</t>
  </si>
  <si>
    <t xml:space="preserve">OTP auth with secure session storage.</t>
  </si>
  <si>
    <t xml:space="preserve">FT-05</t>
  </si>
  <si>
    <t xml:space="preserve">Social sign-in</t>
  </si>
  <si>
    <t xml:space="preserve">Apple and Google sign-in.</t>
  </si>
  <si>
    <t xml:space="preserve">FT-49</t>
  </si>
  <si>
    <t xml:space="preserve">Settings &amp; preferences</t>
  </si>
  <si>
    <t xml:space="preserve">Settings screen shell and preference store.</t>
  </si>
  <si>
    <t xml:space="preserve">FT-07</t>
  </si>
  <si>
    <t xml:space="preserve">Local data layer</t>
  </si>
  <si>
    <t xml:space="preserve">SQLite + Drizzle schema, migrations, repositories.</t>
  </si>
  <si>
    <t xml:space="preserve">FT-08</t>
  </si>
  <si>
    <t xml:space="preserve">Task management UI</t>
  </si>
  <si>
    <t xml:space="preserve">CRUD, Today/Inbox, task detail.</t>
  </si>
  <si>
    <t xml:space="preserve">FT-09</t>
  </si>
  <si>
    <t xml:space="preserve">Organization</t>
  </si>
  <si>
    <t xml:space="preserve">Lists, tags, filters, full-text search.</t>
  </si>
  <si>
    <t xml:space="preserve">FT-10</t>
  </si>
  <si>
    <t xml:space="preserve">Recurring tasks</t>
  </si>
  <si>
    <t xml:space="preserve">RRULE-based repetition.</t>
  </si>
  <si>
    <t xml:space="preserve">FT-11</t>
  </si>
  <si>
    <t xml:space="preserve">Offline-first sync</t>
  </si>
  <si>
    <t xml:space="preserve">Push/pull sync with conflict handling.</t>
  </si>
  <si>
    <t xml:space="preserve">L</t>
  </si>
  <si>
    <t xml:space="preserve">FT-07, FT-04</t>
  </si>
  <si>
    <t xml:space="preserve">FT-12</t>
  </si>
  <si>
    <t xml:space="preserve">AI gateway</t>
  </si>
  <si>
    <t xml:space="preserve">Edge Function proxy to the LLM provider.</t>
  </si>
  <si>
    <t xml:space="preserve">FT-06, FT-04</t>
  </si>
  <si>
    <t xml:space="preserve">FT-13</t>
  </si>
  <si>
    <t xml:space="preserve">Usage guardrails</t>
  </si>
  <si>
    <t xml:space="preserve">Rate limits and token quotas.</t>
  </si>
  <si>
    <t xml:space="preserve">FT-14</t>
  </si>
  <si>
    <t xml:space="preserve">Output contracts &amp; safety</t>
  </si>
  <si>
    <t xml:space="preserve">JSON schemas, validation, injection hardening.</t>
  </si>
  <si>
    <t xml:space="preserve">FT-42</t>
  </si>
  <si>
    <t xml:space="preserve">On-device inference (experimental)</t>
  </si>
  <si>
    <t xml:space="preserve">Offline parsing with a small local model.</t>
  </si>
  <si>
    <t xml:space="preserve">P3</t>
  </si>
  <si>
    <t xml:space="preserve">FT-15</t>
  </si>
  <si>
    <t xml:space="preserve">Quick-add parse</t>
  </si>
  <si>
    <t xml:space="preserve">Typed capture with parse preview and parser.</t>
  </si>
  <si>
    <t xml:space="preserve">FT-08, FT-14</t>
  </si>
  <si>
    <t xml:space="preserve">FT-16</t>
  </si>
  <si>
    <t xml:space="preserve">Review &amp; undo</t>
  </si>
  <si>
    <t xml:space="preserve">Edit-before-confirm and undo for AI tasks.</t>
  </si>
  <si>
    <t xml:space="preserve">FT-17</t>
  </si>
  <si>
    <t xml:space="preserve">Breakdown</t>
  </si>
  <si>
    <t xml:space="preserve">AI subtasks with estimates and review UI.</t>
  </si>
  <si>
    <t xml:space="preserve">FT-18</t>
  </si>
  <si>
    <t xml:space="preserve">Work hours</t>
  </si>
  <si>
    <t xml:space="preserve">Availability and daily capacity settings.</t>
  </si>
  <si>
    <t xml:space="preserve">FT-19</t>
  </si>
  <si>
    <t xml:space="preserve">Plan generation</t>
  </si>
  <si>
    <t xml:space="preserve">AI scheduler for the day.</t>
  </si>
  <si>
    <t xml:space="preserve">FT-14, FT-18</t>
  </si>
  <si>
    <t xml:space="preserve">FT-20</t>
  </si>
  <si>
    <t xml:space="preserve">Plan UI &amp; re-plan</t>
  </si>
  <si>
    <t xml:space="preserve">Plan view, reorder, re-plan on missed tasks.</t>
  </si>
  <si>
    <t xml:space="preserve">FT-21</t>
  </si>
  <si>
    <t xml:space="preserve">Reminders</t>
  </si>
  <si>
    <t xml:space="preserve">Local notifications and permission flow.</t>
  </si>
  <si>
    <t xml:space="preserve">FT-22</t>
  </si>
  <si>
    <t xml:space="preserve">Push infrastructure</t>
  </si>
  <si>
    <t xml:space="preserve">Expo push tokens and server sending.</t>
  </si>
  <si>
    <t xml:space="preserve">FT-23</t>
  </si>
  <si>
    <t xml:space="preserve">Buddy check-ins</t>
  </si>
  <si>
    <t xml:space="preserve">Contextual AI nudges with quick actions.</t>
  </si>
  <si>
    <t xml:space="preserve">FT-22, FT-19</t>
  </si>
  <si>
    <t xml:space="preserve">FT-24</t>
  </si>
  <si>
    <t xml:space="preserve">Procrastination helper</t>
  </si>
  <si>
    <t xml:space="preserve">Detect postponements, suggest starter steps.</t>
  </si>
  <si>
    <t xml:space="preserve">FT-25</t>
  </si>
  <si>
    <t xml:space="preserve">Buddy chat</t>
  </si>
  <si>
    <t xml:space="preserve">Streaming chat with confirmed actions.</t>
  </si>
  <si>
    <t xml:space="preserve">FT-14, FT-13</t>
  </si>
  <si>
    <t xml:space="preserve">FT-26</t>
  </si>
  <si>
    <t xml:space="preserve">Personality</t>
  </si>
  <si>
    <t xml:space="preserve">Friendly/coach/chill and English/Taglish.</t>
  </si>
  <si>
    <t xml:space="preserve">FT-27</t>
  </si>
  <si>
    <t xml:space="preserve">Voice capture</t>
  </si>
  <si>
    <t xml:space="preserve">On-device speech recognition into the parser.</t>
  </si>
  <si>
    <t xml:space="preserve">FT-28</t>
  </si>
  <si>
    <t xml:space="preserve">Photo capture</t>
  </si>
  <si>
    <t xml:space="preserve">Vision extraction of tasks from photos.</t>
  </si>
  <si>
    <t xml:space="preserve">FT-29</t>
  </si>
  <si>
    <t xml:space="preserve">Media privacy</t>
  </si>
  <si>
    <t xml:space="preserve">Upload limits, auto-deletion, consent.</t>
  </si>
  <si>
    <t xml:space="preserve">FT-27, FT-28</t>
  </si>
  <si>
    <t xml:space="preserve">FT-30</t>
  </si>
  <si>
    <t xml:space="preserve">Weekly stats</t>
  </si>
  <si>
    <t xml:space="preserve">Completion and slip statistics.</t>
  </si>
  <si>
    <t xml:space="preserve">FT-31</t>
  </si>
  <si>
    <t xml:space="preserve">AI weekly review</t>
  </si>
  <si>
    <t xml:space="preserve">Narrative review and insights screen.</t>
  </si>
  <si>
    <t xml:space="preserve">FT-30, FT-14</t>
  </si>
  <si>
    <t xml:space="preserve">FT-32</t>
  </si>
  <si>
    <t xml:space="preserve">Spaces &amp; membership</t>
  </si>
  <si>
    <t xml:space="preserve">Spaces, roles, invites, RLS.</t>
  </si>
  <si>
    <t xml:space="preserve">FT-33</t>
  </si>
  <si>
    <t xml:space="preserve">Shared lists realtime</t>
  </si>
  <si>
    <t xml:space="preserve">Realtime shared tasks, assignment, comments.</t>
  </si>
  <si>
    <t xml:space="preserve">FT-34</t>
  </si>
  <si>
    <t xml:space="preserve">Shared AI agent</t>
  </si>
  <si>
    <t xml:space="preserve">Group-context agent and task balancing.</t>
  </si>
  <si>
    <t xml:space="preserve">FT-33, FT-35</t>
  </si>
  <si>
    <t xml:space="preserve">FT-35</t>
  </si>
  <si>
    <t xml:space="preserve">Agent permissions &amp; audit</t>
  </si>
  <si>
    <t xml:space="preserve">Scopes, confirmations, audit log.</t>
  </si>
  <si>
    <t xml:space="preserve">FT-32, FT-12</t>
  </si>
  <si>
    <t xml:space="preserve">FT-36</t>
  </si>
  <si>
    <t xml:space="preserve">Subscription</t>
  </si>
  <si>
    <t xml:space="preserve">Billing, tiers and tiered quotas.</t>
  </si>
  <si>
    <t xml:space="preserve">FT-04, FT-13</t>
  </si>
  <si>
    <t xml:space="preserve">FT-37</t>
  </si>
  <si>
    <t xml:space="preserve">Compliance</t>
  </si>
  <si>
    <t xml:space="preserve">Privacy docs, account deletion, data export.</t>
  </si>
  <si>
    <t xml:space="preserve">FT-38</t>
  </si>
  <si>
    <t xml:space="preserve">Onboarding</t>
  </si>
  <si>
    <t xml:space="preserve">First-run flow and permission priming.</t>
  </si>
  <si>
    <t xml:space="preserve">FT-21, FT-49</t>
  </si>
  <si>
    <t xml:space="preserve">FT-39</t>
  </si>
  <si>
    <t xml:space="preserve">Beta &amp; store release</t>
  </si>
  <si>
    <t xml:space="preserve">TestFlight/Play testing, OTA, store submission.</t>
  </si>
  <si>
    <t xml:space="preserve">FT-40</t>
  </si>
  <si>
    <t xml:space="preserve">Calendar integration</t>
  </si>
  <si>
    <t xml:space="preserve">Read device calendar to inform plans.</t>
  </si>
  <si>
    <t xml:space="preserve">FT-41</t>
  </si>
  <si>
    <t xml:space="preserve">Widgets</t>
  </si>
  <si>
    <t xml:space="preserve">Home-screen Today widget.</t>
  </si>
  <si>
    <t xml:space="preserve">FT-43</t>
  </si>
  <si>
    <t xml:space="preserve">Observability</t>
  </si>
  <si>
    <t xml:space="preserve">Crash reporting and release health.</t>
  </si>
  <si>
    <t xml:space="preserve">FT-44</t>
  </si>
  <si>
    <t xml:space="preserve">E2E testing</t>
  </si>
  <si>
    <t xml:space="preserve">Maestro flows for critical paths.</t>
  </si>
  <si>
    <t xml:space="preserve">FT-45</t>
  </si>
  <si>
    <t xml:space="preserve">AI evals</t>
  </si>
  <si>
    <t xml:space="preserve">Golden sets and regression gate in CI.</t>
  </si>
  <si>
    <t xml:space="preserve">FT-46</t>
  </si>
  <si>
    <t xml:space="preserve">Accessibility &amp; i18n</t>
  </si>
  <si>
    <t xml:space="preserve">Screen reader, dynamic type, Taglish/Filipino strings.</t>
  </si>
  <si>
    <t xml:space="preserve">FT-47</t>
  </si>
  <si>
    <t xml:space="preserve">Analytics</t>
  </si>
  <si>
    <t xml:space="preserve">Event taxonomy and funnels.</t>
  </si>
  <si>
    <t xml:space="preserve">FT-48</t>
  </si>
  <si>
    <t xml:space="preserve">Performance</t>
  </si>
  <si>
    <t xml:space="preserve">Startup and list performance budgets.</t>
  </si>
  <si>
    <t xml:space="preserve">Story ID</t>
  </si>
  <si>
    <t xml:space="preserve">Feature</t>
  </si>
  <si>
    <t xml:space="preserve">Title</t>
  </si>
  <si>
    <t xml:space="preserve">User Story</t>
  </si>
  <si>
    <t xml:space="preserve">Acceptance Criteria (testable)</t>
  </si>
  <si>
    <t xml:space="preserve">Wave</t>
  </si>
  <si>
    <t xml:space="preserve">Workstream</t>
  </si>
  <si>
    <t xml:space="preserve">Sprint</t>
  </si>
  <si>
    <t xml:space="preserve">Blocked By</t>
  </si>
  <si>
    <t xml:space="preserve">US-001</t>
  </si>
  <si>
    <t xml:space="preserve">Scaffold Expo app (TypeScript, Router, lint, aliases)</t>
  </si>
  <si>
    <t xml:space="preserve">As a developer, I want a TypeScript Expo app scaffolded with Expo Router, strict TS, ESLint/Prettier and path aliases, so that every later story starts from one consistent base.</t>
  </si>
  <si>
    <t xml:space="preserve">- Given a fresh clone, when I run `pnpm install &amp;&amp; pnpm start`, then the app boots on an iOS simulator and an Android emulator with a placeholder home route
- Given the repo, when I run `pnpm lint &amp;&amp; pnpm typecheck`, then both pass with zero errors in strict mode
- The folder structure matches CLAUDE.md section 3 and `docs/tickets/_TEMPLATE.md` exists</t>
  </si>
  <si>
    <t xml:space="preserve">Wave 1</t>
  </si>
  <si>
    <t xml:space="preserve">Ready</t>
  </si>
  <si>
    <t xml:space="preserve">US-002</t>
  </si>
  <si>
    <t xml:space="preserve">CI pipeline and EAS build profiles</t>
  </si>
  <si>
    <t xml:space="preserve">As a developer, I want CI and EAS build profiles, so that every PR is linted, typechecked, tested and installable as a dev client.</t>
  </si>
  <si>
    <t xml:space="preserve">- Given a PR, when it is opened, then GitHub Actions runs lint, typecheck and unit tests and finishes in under 8 minutes
- Given `eas build --profile development`, then a dev-client build is produced and installs on a device or simulator
- Branch protection requires green CI and one review before merge to main</t>
  </si>
  <si>
    <t xml:space="preserve">US-003</t>
  </si>
  <si>
    <t xml:space="preserve">Design system: theme tokens and UI primitives</t>
  </si>
  <si>
    <t xml:space="preserve">As a user, I want a consistent, accessible look in light and dark mode, so that the app feels polished and readable.</t>
  </si>
  <si>
    <t xml:space="preserve">- Given the system theme changes, when the app is open, then all primitives (Button, Input, Card, Checkbox, Sheet) switch theme without a reload
- Colour tokens meet 4.5:1 contrast for body text in both themes
- Each primitive has a typed props interface and is used by at least one screen (reuse-first)</t>
  </si>
  <si>
    <t xml:space="preserve">US-004</t>
  </si>
  <si>
    <t xml:space="preserve">App shell: tab navigation and task modal</t>
  </si>
  <si>
    <t xml:space="preserve">As a user, I want tab navigation (Today, Inbox, Buddy, Settings) and a task detail modal, so that I can move around the app quickly.</t>
  </si>
  <si>
    <t xml:space="preserve">- Given the app is open, when I tap each tab, then the matching screen renders in under 300 ms
- Given the deep link `taskbuddy://task/&lt;id&gt;`, when opened, then the task detail modal is shown
- The Android back gesture and iOS swipe-back close the modal without losing state</t>
  </si>
  <si>
    <t xml:space="preserve">US-005</t>
  </si>
  <si>
    <t xml:space="preserve">Supabase projects, env config and RLS baseline</t>
  </si>
  <si>
    <t xml:space="preserve">As a developer, I want Supabase dev/staging/prod projects with env config and RLS baseline, so that auth and data are secure from the first commit.</t>
  </si>
  <si>
    <t xml:space="preserve">- Given three Supabase projects, then URLs and anon keys are injected through EAS env and no service-role key exists in the client bundle
- Given users A and B, when A queries B's profile row, then RLS returns zero rows (automated test)
- TypeScript types are generated from the schema in CI and the build fails on drift</t>
  </si>
  <si>
    <t xml:space="preserve">US-006</t>
  </si>
  <si>
    <t xml:space="preserve">Email OTP sign-in with secure session</t>
  </si>
  <si>
    <t xml:space="preserve">As a user, I want to sign in with an emailed 6-digit code, so that I can use the app without remembering a password.</t>
  </si>
  <si>
    <t xml:space="preserve">- Given a valid email and correct code, when I submit, then I land on Today within 3 seconds and the session survives an app restart
- Given a wrong or expired code, then an inline error is shown and I can request a new code after 30 seconds
- Sessions are stored in expo-secure-store and refresh automatically; sign-out clears them</t>
  </si>
  <si>
    <t xml:space="preserve">US-005, US-004</t>
  </si>
  <si>
    <t xml:space="preserve">US-007</t>
  </si>
  <si>
    <t xml:space="preserve">Local SQLite schema, migrations and repositories</t>
  </si>
  <si>
    <t xml:space="preserve">As a developer, I want a local SQLite schema with migrations and repositories, so that the app works offline and is ready for sync.</t>
  </si>
  <si>
    <t xml:space="preserve">- Given a first launch, then migrations run and tables tasks, subtasks, lists, tags exist with id (UUIDv7), updated_at and deleted_at
- Given a v1 database with data, when v2 migration runs in a test, then no rows are lost
- Given 10,000 tasks, a list query returns in under 50 ms at p95 on a mid-range Android device</t>
  </si>
  <si>
    <t xml:space="preserve">US-008</t>
  </si>
  <si>
    <t xml:space="preserve">AI gateway Edge Function with JWT auth</t>
  </si>
  <si>
    <t xml:space="preserve">As a developer, I want a Supabase Edge Function AI gateway that verifies the user JWT and calls the LLM through a provider interface, so that API keys never ship in the app.</t>
  </si>
  <si>
    <t xml:space="preserve">- Given an unauthenticated request, then the gateway returns 401 and never calls the provider
- Given a valid request, then routes /parse, /breakdown, /plan use their configured model and a 20-second timeout
- The provider API key exists only as an Edge Function secret and a search of the app bundle finds no key</t>
  </si>
  <si>
    <t xml:space="preserve">Wave 2</t>
  </si>
  <si>
    <t xml:space="preserve">US-005, US-006</t>
  </si>
  <si>
    <t xml:space="preserve">US-009</t>
  </si>
  <si>
    <t xml:space="preserve">Per-user AI rate limits and token quotas</t>
  </si>
  <si>
    <t xml:space="preserve">As the product owner, I want per-user rate limits and daily token quotas on every AI call, so that cost and abuse are capped from day one.</t>
  </si>
  <si>
    <t xml:space="preserve">- Given a free user, when they make a 31st AI call within an hour, then the gateway returns 429 with Retry-After and the app shows a friendly message
- Every AI call writes a row to the usage ledger with user, route, model, input/output tokens and cost estimate
- A daily token quota per user is enforced and the quota resets at 00:00 UTC</t>
  </si>
  <si>
    <t xml:space="preserve">US-010</t>
  </si>
  <si>
    <t xml:space="preserve">AI output schemas, validation and repair retry</t>
  </si>
  <si>
    <t xml:space="preserve">As a developer, I want JSON schemas and validation for every AI response, so that malformed model output never reaches the database.</t>
  </si>
  <si>
    <t xml:space="preserve">- Given 200 golden inputs, then at least 98% of responses validate against the schema after at most one automatic repair retry
- Given invalid output after the retry, then the gateway returns the typed error AI_BAD_OUTPUT and nothing is persisted
- Prompt templates are versioned in the repo and the version is logged with each request</t>
  </si>
  <si>
    <t xml:space="preserve">US-011</t>
  </si>
  <si>
    <t xml:space="preserve">Prompt-injection and input hardening</t>
  </si>
  <si>
    <t xml:space="preserve">As the product owner, I want input hardening against prompt injection, so that user text can never exfiltrate prompts or trigger actions.</t>
  </si>
  <si>
    <t xml:space="preserve">- Given a corpus of 20 injection prompts (e.g. 'ignore previous instructions'), then none returns the system prompt or triggers a tool action
- Inputs over 2,000 characters are rejected with 413 and control characters are stripped
- AI-proposed actions are never executed server-side; the client must confirm</t>
  </si>
  <si>
    <t xml:space="preserve">US-012</t>
  </si>
  <si>
    <t xml:space="preserve">Task CRUD with due date and priority</t>
  </si>
  <si>
    <t xml:space="preserve">As a user, I want to create, edit, complete and delete tasks with a due date and priority, so that I can manage my work.</t>
  </si>
  <si>
    <t xml:space="preserve">- Given the add-task form, when I save a title with due date and priority, then the task appears in the right list instantly (optimistic) and persists after restart
- Given a task, when I complete it, then it moves to Completed with a timestamp and can be un-completed
- Deleting a task is a soft delete (deleted_at) with a 5-second undo</t>
  </si>
  <si>
    <t xml:space="preserve">US-007, US-004</t>
  </si>
  <si>
    <t xml:space="preserve">US-013</t>
  </si>
  <si>
    <t xml:space="preserve">Today and Inbox screens with swipe actions</t>
  </si>
  <si>
    <t xml:space="preserve">As a user, I want Today and Inbox screens grouped by due state with swipe actions, so that I see what matters now.</t>
  </si>
  <si>
    <t xml:space="preserve">- Given tasks due today, overdue and undated, then Today shows Overdue, Today and Later groups and Inbox shows undated tasks
- Given a task row, when I swipe right/left, then it completes or reschedules to tomorrow
- Empty states explain the next action; a list of 500 tasks scrolls at 60 fps in a release build</t>
  </si>
  <si>
    <t xml:space="preserve">US-014</t>
  </si>
  <si>
    <t xml:space="preserve">Task detail screen with notes and subtasks</t>
  </si>
  <si>
    <t xml:space="preserve">As a user, I want a task detail screen with notes, subtasks and due/priority controls, so that I can capture context.</t>
  </si>
  <si>
    <t xml:space="preserve">- Given a task, when I open it, then I can edit title, notes, due date, priority and manage a subtask checklist
- Given all subtasks are checked, then I am offered to complete the parent task
- Edits autosave within 500 ms of the last keystroke</t>
  </si>
  <si>
    <t xml:space="preserve">US-015</t>
  </si>
  <si>
    <t xml:space="preserve">Quick-add with AI parse preview</t>
  </si>
  <si>
    <t xml:space="preserve">As a user, I want to type a sentence like 'call landlord tomorrow 9am, buy rice and eggs' and see the parsed tasks before saving, so that capture takes seconds.</t>
  </si>
  <si>
    <t xml:space="preserve">- Given a sentence with three tasks, then the preview lists three tasks with parsed due dates and priorities within 3 seconds (p95)
- Given the device is offline, then the quick-add falls back to saving one plain task and shows 'AI unavailable'
- Saving the preview creates the tasks in one transaction</t>
  </si>
  <si>
    <t xml:space="preserve">Wave 3</t>
  </si>
  <si>
    <t xml:space="preserve">US-012, US-010, US-009</t>
  </si>
  <si>
    <t xml:space="preserve">US-016</t>
  </si>
  <si>
    <t xml:space="preserve">Natural-language parser: dates, priority, timezone</t>
  </si>
  <si>
    <t xml:space="preserve">As a user, I want relative dates and priorities understood in my timezone, so that 'Friday' and 'urgent' mean what I expect.</t>
  </si>
  <si>
    <t xml:space="preserve">- Given the golden set of 100 English/Taglish sentences, then at least 90% produce the correct task count and due date in the user's timezone
- Given an ambiguous date, then confidence is below 0.6 and the preview highlights the field for review
- Prompts include current date/time and timezone and never include other users' data</t>
  </si>
  <si>
    <t xml:space="preserve">US-010, US-011</t>
  </si>
  <si>
    <t xml:space="preserve">US-017</t>
  </si>
  <si>
    <t xml:space="preserve">AI task breakdown into subtasks with estimates</t>
  </si>
  <si>
    <t xml:space="preserve">As a user, I want to tap 'Break it down' on a vague task and review suggested subtasks with time estimates, so that big tasks become doable.</t>
  </si>
  <si>
    <t xml:space="preserve">- Given a task titled 'Launch my website', when I tap Break it down, then 3-8 subtasks with minute estimates appear within 6 seconds (p95)
- Given the suggestions, then I can accept all, accept some, edit, or regenerate
- Accepting adds subtasks to the task and totals the estimate on the parent</t>
  </si>
  <si>
    <t xml:space="preserve">US-014, US-010, US-009</t>
  </si>
  <si>
    <t xml:space="preserve">US-018</t>
  </si>
  <si>
    <t xml:space="preserve">Settings screen shell and preference registry</t>
  </si>
  <si>
    <t xml:space="preserve">As a user, I want a Settings screen, so that I can manage my account and preferences in one place.</t>
  </si>
  <si>
    <t xml:space="preserve">- Given the Settings tab, then I can see my account email, sign out, and open preference sections
- Preference changes persist locally and apply immediately
- Settings sections are driven by a registry so later stories add rows without editing the screen</t>
  </si>
  <si>
    <t xml:space="preserve">Phase 2</t>
  </si>
  <si>
    <t xml:space="preserve">US-019</t>
  </si>
  <si>
    <t xml:space="preserve">Work hours and daily capacity settings</t>
  </si>
  <si>
    <t xml:space="preserve">As a user, I want to set my working hours and daily capacity, so that plans fit my real day.</t>
  </si>
  <si>
    <t xml:space="preserve">- Given work hours 9:00-17:00 and capacity 5 hours, then the value persists and is exposed to the planner
- Invalid ranges (end before start) are blocked with an inline error
- Default values are applied for users who skip the setting</t>
  </si>
  <si>
    <t xml:space="preserve">US-020</t>
  </si>
  <si>
    <t xml:space="preserve">AI daily plan generation</t>
  </si>
  <si>
    <t xml:space="preserve">As a user, I want an AI-generated plan for today, so that I know what to do and when.</t>
  </si>
  <si>
    <t xml:space="preserve">- Given tasks with estimates and due dates, then the plan schedules blocks inside my work hours and never exceeds daily capacity
- Given a task due today, then it is scheduled before tasks with later due dates
- Tasks that do not fit are returned as unscheduled with a reason</t>
  </si>
  <si>
    <t xml:space="preserve">US-010, US-019, US-012, US-009</t>
  </si>
  <si>
    <t xml:space="preserve">US-021</t>
  </si>
  <si>
    <t xml:space="preserve">Daily plan view with reorder and accept</t>
  </si>
  <si>
    <t xml:space="preserve">As a user, I want to see, reorder and accept my daily plan on the Today screen, so that I stay in control.</t>
  </si>
  <si>
    <t xml:space="preserve">- Given a generated plan, then Today shows time blocks and I can drag to reorder or remove a block
- Given I accept the plan, then it is saved and shown on next open without another AI call
- Pull-to-refresh regenerates the plan and counts against my quota</t>
  </si>
  <si>
    <t xml:space="preserve">US-020, US-013</t>
  </si>
  <si>
    <t xml:space="preserve">US-022</t>
  </si>
  <si>
    <t xml:space="preserve">Edit and undo AI-created tasks</t>
  </si>
  <si>
    <t xml:space="preserve">As a user, I want to edit AI-created tasks and undo them, so that mistakes are cheap.</t>
  </si>
  <si>
    <t xml:space="preserve">- Given AI-created tasks, when I tap Undo within 10 seconds, then all of them are removed
- Given a parsed task in preview, then every field is editable before save
- AI-created tasks carry a source flag for analytics and evals</t>
  </si>
  <si>
    <t xml:space="preserve">US-023</t>
  </si>
  <si>
    <t xml:space="preserve">Crash reporting with Sentry and source maps</t>
  </si>
  <si>
    <t xml:space="preserve">As a developer, I want crash and error reporting with source maps, so that I find problems before users do.</t>
  </si>
  <si>
    <t xml:space="preserve">- Given a forced JS error and a forced native crash in a preview build, then both appear in Sentry with readable stack traces
- PII (task titles, notes) is scrubbed from breadcrumbs and events
- Release health shows crash-free sessions per build</t>
  </si>
  <si>
    <t xml:space="preserve">US-001, US-002</t>
  </si>
  <si>
    <t xml:space="preserve">US-024</t>
  </si>
  <si>
    <t xml:space="preserve">TestFlight and Play beta builds with OTA updates</t>
  </si>
  <si>
    <t xml:space="preserve">As a tester, I want TestFlight and Play internal builds with OTA updates, so that I can use the app daily and give feedback.</t>
  </si>
  <si>
    <t xml:space="preserve">- Given a merge to main, then a preview build is uploaded to TestFlight and Play internal testing
- Given a JS-only change, then EAS Update delivers it to the preview channel without a store build
- A feedback link is reachable from Settings</t>
  </si>
  <si>
    <t xml:space="preserve">US-002, US-023, US-013</t>
  </si>
  <si>
    <t xml:space="preserve">US-025</t>
  </si>
  <si>
    <t xml:space="preserve">AI eval harness with golden sets and CI gate</t>
  </si>
  <si>
    <t xml:space="preserve">As a developer, I want golden sets and an eval runner for parse, breakdown and plan, so that prompt or model changes cannot silently regress quality.</t>
  </si>
  <si>
    <t xml:space="preserve">- Given golden sets (100 parse, 30 breakdown, 30 plan cases), then `pnpm eval` prints per-feature pass rates
- CI fails when a pass rate drops more than 3 points from the stored baseline
- Eval runs are rate-limited and cost-capped to a configured budget</t>
  </si>
  <si>
    <t xml:space="preserve">US-016, US-017, US-020</t>
  </si>
  <si>
    <t xml:space="preserve">US-026</t>
  </si>
  <si>
    <t xml:space="preserve">Local due-date reminders</t>
  </si>
  <si>
    <t xml:space="preserve">As a user, I want reminders at a task's due time even offline, so that I do not miss things.</t>
  </si>
  <si>
    <t xml:space="preserve">- Given a task with a due time, then a local notification fires within 60 seconds of that time with the app closed
- Completing or deleting the task cancels its pending notification
- Editing the due time reschedules the notification</t>
  </si>
  <si>
    <t xml:space="preserve">Wave 4</t>
  </si>
  <si>
    <t xml:space="preserve">US-027</t>
  </si>
  <si>
    <t xml:space="preserve">Notification permission flow and quiet hours</t>
  </si>
  <si>
    <t xml:space="preserve">As a user, I want a clear notification permission flow with quiet hours, so that nudges are welcome, not annoying.</t>
  </si>
  <si>
    <t xml:space="preserve">- Given first reminder use, then a priming screen explains why before the OS permission prompt appears
- Given quiet hours 22:00-07:00, then no reminder or check-in is delivered in that window
- If permission is denied, the Settings row links to OS settings</t>
  </si>
  <si>
    <t xml:space="preserve">US-018, US-026</t>
  </si>
  <si>
    <t xml:space="preserve">US-028</t>
  </si>
  <si>
    <t xml:space="preserve">Re-plan on missed or finished tasks</t>
  </si>
  <si>
    <t xml:space="preserve">As a user, I want the plan to adapt when I miss or finish tasks early, so that my day stays realistic.</t>
  </si>
  <si>
    <t xml:space="preserve">- Given overdue planned blocks, when I tap Re-plan, then remaining tasks are rescheduled into the rest of today or tomorrow
- Re-plan preserves blocks I pinned
- Re-plan costs one AI call and respects rate limits</t>
  </si>
  <si>
    <t xml:space="preserve">US-029</t>
  </si>
  <si>
    <t xml:space="preserve">Offline-first sync across devices</t>
  </si>
  <si>
    <t xml:space="preserve">As a user, I want my tasks synced across devices and backed up, so that I never lose data.</t>
  </si>
  <si>
    <t xml:space="preserve">- Given two devices on one account, when I edit on device A, then device B shows the change within 10 seconds of being online
- Given the same task edited offline on both devices, then the later updated_at wins and no task is duplicated or lost (automated test)
- Soft-deleted tasks sync as tombstones and purge after 30 days</t>
  </si>
  <si>
    <t xml:space="preserve">US-007, US-006, US-012</t>
  </si>
  <si>
    <t xml:space="preserve">US-030</t>
  </si>
  <si>
    <t xml:space="preserve">Lists, tags and filters</t>
  </si>
  <si>
    <t xml:space="preserve">As a user, I want lists and tags with filters, so that I can organize my tasks.</t>
  </si>
  <si>
    <t xml:space="preserve">- Given lists and tags, then I can assign them to a task and filter Today/Inbox by list or tag
- Deleting a list asks whether to move or delete its tasks
- The parser can assign an existing list by name</t>
  </si>
  <si>
    <t xml:space="preserve">US-031</t>
  </si>
  <si>
    <t xml:space="preserve">Recurring tasks (RRULE)</t>
  </si>
  <si>
    <t xml:space="preserve">As a user, I want recurring tasks (daily, weekly, custom), so that routines are automatic.</t>
  </si>
  <si>
    <t xml:space="preserve">- Given a weekly Monday/Thursday rule, then completing an instance creates the next occurrence on the correct date in my timezone
- Editing 'this and future' vs 'only this' is supported
- Recurrence uses RFC 5545 RRULE strings and passes 20 date-edge test cases (DST, month end)</t>
  </si>
  <si>
    <t xml:space="preserve">US-032</t>
  </si>
  <si>
    <t xml:space="preserve">Push token registration and server sender</t>
  </si>
  <si>
    <t xml:space="preserve">As a developer, I want push tokens and a server-side sender, so that check-ins reach users when the app is closed.</t>
  </si>
  <si>
    <t xml:space="preserve">- Given a signed-in device, then its Expo push token is registered and removed on sign-out
- Given a send request, then the Edge Function delivers via Expo Push and records receipts; invalid tokens are pruned
- A per-user daily cap of 3 pushes is enforced server-side</t>
  </si>
  <si>
    <t xml:space="preserve">US-006, US-008, US-027</t>
  </si>
  <si>
    <t xml:space="preserve">US-033</t>
  </si>
  <si>
    <t xml:space="preserve">Buddy check-ins with quick-reply actions</t>
  </si>
  <si>
    <t xml:space="preserve">As a user, I want occasional, useful buddy check-ins with quick replies, so that I stay on track without opening the app.</t>
  </si>
  <si>
    <t xml:space="preserve">- Given unfinished planned tasks at 16:00 local, then I get a check-in naming them with actions Done / Move to tomorrow / Snooze
- Tapping an action updates the task without opening the app
- Check-in text is generated by the AI with a max of 160 characters and respects quiet hours</t>
  </si>
  <si>
    <t xml:space="preserve">US-032, US-020, US-009</t>
  </si>
  <si>
    <t xml:space="preserve">US-034</t>
  </si>
  <si>
    <t xml:space="preserve">Detect repeatedly postponed tasks</t>
  </si>
  <si>
    <t xml:space="preserve">As a user, I want the buddy to notice tasks I keep postponing, so that I can get unstuck.</t>
  </si>
  <si>
    <t xml:space="preserve">- Given a task postponed 3 times, then it is flagged and I am offered help on the task detail screen
- Postpone count is stored locally and syncs
- I can dismiss the flag and it does not return for 7 days</t>
  </si>
  <si>
    <t xml:space="preserve">US-014, US-026</t>
  </si>
  <si>
    <t xml:space="preserve">US-035</t>
  </si>
  <si>
    <t xml:space="preserve">AI 10-minute starter step</t>
  </si>
  <si>
    <t xml:space="preserve">As a user, I want a tiny 10-minute starter step for a stuck task, so that starting feels easy.</t>
  </si>
  <si>
    <t xml:space="preserve">- Given a flagged task, when I tap Help me start, then I can optionally say what is blocking me and receive one concrete step under 10 minutes
- Accepting adds the step as the first subtask and schedules it today
- The response is validated against the starter-step schema</t>
  </si>
  <si>
    <t xml:space="preserve">US-034, US-010, US-009</t>
  </si>
  <si>
    <t xml:space="preserve">US-036</t>
  </si>
  <si>
    <t xml:space="preserve">Sign in with Apple and Google</t>
  </si>
  <si>
    <t xml:space="preserve">As a user, I want to sign in with Apple or Google, so that onboarding is one tap.</t>
  </si>
  <si>
    <t xml:space="preserve">- Given Apple and Google accounts, then each signs in and links to the same user when the email matches
- Sign in with Apple is offered wherever another social option exists (store requirement)
- Cancelling the flow returns to sign-in with no error state</t>
  </si>
  <si>
    <t xml:space="preserve">US-037</t>
  </si>
  <si>
    <t xml:space="preserve">Onboarding flow (hours, quiet hours, tone)</t>
  </si>
  <si>
    <t xml:space="preserve">As a new user, I want a short onboarding that sets work hours and notification preferences, so that the app is useful on day one.</t>
  </si>
  <si>
    <t xml:space="preserve">- Given a new account, then onboarding takes at most 4 screens and can be skipped
- Onboarding writes work hours, quiet hours and buddy tone to settings
- Completion is recorded so it is never shown again</t>
  </si>
  <si>
    <t xml:space="preserve">US-027, US-019, US-018</t>
  </si>
  <si>
    <t xml:space="preserve">US-038</t>
  </si>
  <si>
    <t xml:space="preserve">Maestro E2E flows for critical paths</t>
  </si>
  <si>
    <t xml:space="preserve">As a developer, I want Maestro E2E flows for critical paths, so that releases are safe.</t>
  </si>
  <si>
    <t xml:space="preserve">- Given a CI emulator, then flows for sign-in, quick-add, complete task and breakdown pass
- Flows run on every PR to main in under 12 minutes
- Flaky tests are quarantined and tracked, not ignored</t>
  </si>
  <si>
    <t xml:space="preserve">US-013, US-015, US-002</t>
  </si>
  <si>
    <t xml:space="preserve">US-039</t>
  </si>
  <si>
    <t xml:space="preserve">Data export and account deletion</t>
  </si>
  <si>
    <t xml:space="preserve">As a user, I want to export my data and delete my account, so that I control my information.</t>
  </si>
  <si>
    <t xml:space="preserve">- Given Settings &gt; Account, when I request export, then a JSON file of my tasks is generated and shared via the OS share sheet
- Given I confirm deletion, then my server data and AI usage rows are deleted within 24 hours and I am signed out
- The flow is reachable in 3 taps and satisfies store account-deletion rules</t>
  </si>
  <si>
    <t xml:space="preserve">US-029, US-006</t>
  </si>
  <si>
    <t xml:space="preserve">US-040</t>
  </si>
  <si>
    <t xml:space="preserve">Privacy policy, terms and AI disclosure</t>
  </si>
  <si>
    <t xml:space="preserve">As the product owner, I want privacy policy, terms and AI disclosure, so that the app is compliant for store review.</t>
  </si>
  <si>
    <t xml:space="preserve">- Privacy policy and terms are published at stable URLs and linked in Settings and on sign-in
- The policy states what text/audio/images are sent to an AI provider, retention, and deletion
- App Store privacy labels and Play data-safety form drafts are prepared</t>
  </si>
  <si>
    <t xml:space="preserve">US-041</t>
  </si>
  <si>
    <t xml:space="preserve">Buddy chat with confirmed actions</t>
  </si>
  <si>
    <t xml:space="preserve">As a user, I want to chat with my buddy about my tasks, so that I can ask what to do next and make changes by talking.</t>
  </si>
  <si>
    <t xml:space="preserve">- Given 'What should I do now?', then a streamed answer references my real tasks within 2 seconds to first token
- Given 'Move my report to Friday', then the buddy proposes the change and applies it only after I tap Confirm
- Conversation context sends a digest of at most 50 tasks and never other users' data</t>
  </si>
  <si>
    <t xml:space="preserve">Wave 5</t>
  </si>
  <si>
    <t xml:space="preserve">US-010, US-009, US-011, US-012</t>
  </si>
  <si>
    <t xml:space="preserve">US-042</t>
  </si>
  <si>
    <t xml:space="preserve">Buddy tone and language (English/Taglish)</t>
  </si>
  <si>
    <t xml:space="preserve">As a user, I want to choose the buddy's tone and language, so that it feels like mine.</t>
  </si>
  <si>
    <t xml:space="preserve">- Given tone options Friendly, Coach, Chill and language English or Taglish, then check-ins and chat follow the selection
- The setting syncs across devices
- Eval set verifies each tone stays inside the safety rules</t>
  </si>
  <si>
    <t xml:space="preserve">US-041, US-018</t>
  </si>
  <si>
    <t xml:space="preserve">US-043</t>
  </si>
  <si>
    <t xml:space="preserve">Voice capture via speech recognition</t>
  </si>
  <si>
    <t xml:space="preserve">As a user, I want to speak my tasks, so that I can capture hands-free.</t>
  </si>
  <si>
    <t xml:space="preserve">- Given microphone permission, when I hold the mic and speak a sentence, then the transcript fills quick-add and is parsed like typed text
- On-device recognition is used when available; the app states when a network service is used
- Given unsupported locale or permission denied, then the app shows a clear fallback to typing</t>
  </si>
  <si>
    <t xml:space="preserve">US-015, US-016</t>
  </si>
  <si>
    <t xml:space="preserve">US-044</t>
  </si>
  <si>
    <t xml:space="preserve">Photo-to-tasks (vision extraction)</t>
  </si>
  <si>
    <t xml:space="preserve">As a user, I want to photograph a handwritten list or whiteboard and get tasks, so that I can digitize paper.</t>
  </si>
  <si>
    <t xml:space="preserve">- Given a photo of a 10-line list, then at least 90% of lines become task candidates in the review screen within 10 seconds
- Images are resized to at most 1600 px and compressed before upload
- I can crop or discard before anything is sent</t>
  </si>
  <si>
    <t xml:space="preserve">US-008, US-010, US-015</t>
  </si>
  <si>
    <t xml:space="preserve">US-045</t>
  </si>
  <si>
    <t xml:space="preserve">Media upload limits, consent and auto-deletion</t>
  </si>
  <si>
    <t xml:space="preserve">As a user, I want my photos and audio handled privately, so that sensitive notes are safe.</t>
  </si>
  <si>
    <t xml:space="preserve">- Given an uploaded image or audio file, then the raw media is deleted from storage within 24 hours
- A one-time consent explains that images are processed by an AI provider
- Uploads over 5 MB or 60 seconds are rejected with a friendly error</t>
  </si>
  <si>
    <t xml:space="preserve">US-044, US-043</t>
  </si>
  <si>
    <t xml:space="preserve">US-046</t>
  </si>
  <si>
    <t xml:space="preserve">Weekly completion statistics</t>
  </si>
  <si>
    <t xml:space="preserve">As a user, I want weekly stats of what I completed and slipped, so that I can see my progress.</t>
  </si>
  <si>
    <t xml:space="preserve">- Given a week of activity, then the stats screen shows completed count, slipped count, on-time rate and best day
- Numbers equal an independent SQL calculation in tests
- Stats compute locally without an AI call</t>
  </si>
  <si>
    <t xml:space="preserve">US-047</t>
  </si>
  <si>
    <t xml:space="preserve">AI weekly review and suggestion</t>
  </si>
  <si>
    <t xml:space="preserve">As a user, I want an AI weekly review with wins and one suggestion, so that I improve each week.</t>
  </si>
  <si>
    <t xml:space="preserve">- Given weekly stats, then a review with summary, up to 3 wins, up to 2 patterns and 1 suggestion generates in under 15 seconds
- The review cites only numbers present in the stats payload (eval check)
- A Sunday-evening notification offers the review when enabled</t>
  </si>
  <si>
    <t xml:space="preserve">US-046, US-010, US-009</t>
  </si>
  <si>
    <t xml:space="preserve">US-048</t>
  </si>
  <si>
    <t xml:space="preserve">Accessibility: labels, dynamic type, touch targets</t>
  </si>
  <si>
    <t xml:space="preserve">As a user with accessibility needs, I want screen reader labels, dynamic type and sufficient targets, so that I can use the app.</t>
  </si>
  <si>
    <t xml:space="preserve">- Given VoiceOver/TalkBack, then every interactive element has a label and a logical focus order on core screens
- At 200% font scale, no text is clipped on Today, detail and quick-add
- Touch targets are at least 44x44 pt</t>
  </si>
  <si>
    <t xml:space="preserve">US-013, US-014, US-015</t>
  </si>
  <si>
    <t xml:space="preserve">US-049</t>
  </si>
  <si>
    <t xml:space="preserve">Performance budgets for startup and lists</t>
  </si>
  <si>
    <t xml:space="preserve">As a user, I want the app to open fast and scroll smoothly, so that it feels instant.</t>
  </si>
  <si>
    <t xml:space="preserve">- Given a release build on a mid-range Android device, then cold start to interactive is under 2.5 seconds at p75
- A 1,000-task list scrolls with no dropped-frame spikes over 5%
- Bundle size and startup time are tracked in CI with a regression budget</t>
  </si>
  <si>
    <t xml:space="preserve">US-050</t>
  </si>
  <si>
    <t xml:space="preserve">v1.0 App Store and Google Play submission</t>
  </si>
  <si>
    <t xml:space="preserve">As the product owner, I want v1.0 submitted to the App Store and Google Play, so that real users can install Task Buddy.</t>
  </si>
  <si>
    <t xml:space="preserve">- Given store listings, screenshots and review notes with demo credentials, then both stores accept the submission
- AI disclosure, privacy labels and account deletion are verified against the checklist
- A rollback plan (OTA revert and previous build) is documented</t>
  </si>
  <si>
    <t xml:space="preserve">US-024, US-040, US-039, US-037, US-048, US-038</t>
  </si>
  <si>
    <t xml:space="preserve">US-051</t>
  </si>
  <si>
    <t xml:space="preserve">Consent-gated product analytics</t>
  </si>
  <si>
    <t xml:space="preserve">As the product owner, I want privacy-respecting product analytics, so that I can see activation and retention.</t>
  </si>
  <si>
    <t xml:space="preserve">- Given consent, then events (task_created, ai_used, plan_accepted) flow to PostHog with no task text
- Without consent no events are sent
- A funnel dashboard exists for signup to first AI use</t>
  </si>
  <si>
    <t xml:space="preserve">US-004, US-018</t>
  </si>
  <si>
    <t xml:space="preserve">US-052</t>
  </si>
  <si>
    <t xml:space="preserve">Filipino and English UI localization</t>
  </si>
  <si>
    <t xml:space="preserve">As a Filipino user, I want the UI in Filipino or English, so that it feels natural.</t>
  </si>
  <si>
    <t xml:space="preserve">- Given language set to Filipino, then all static strings display translated and layouts do not overflow
- Strings live in resource files and a missing key fails CI
- Dates and numbers follow the locale</t>
  </si>
  <si>
    <t xml:space="preserve">US-053</t>
  </si>
  <si>
    <t xml:space="preserve">Full-text task search (FTS5)</t>
  </si>
  <si>
    <t xml:space="preserve">As a user, I want fast full-text search, so that I can find any task.</t>
  </si>
  <si>
    <t xml:space="preserve">- Given 5,000 tasks, then search results appear within 100 ms of typing using SQLite FTS5
- Search covers title, notes and subtasks
- Results update after edits without a restart</t>
  </si>
  <si>
    <t xml:space="preserve">Wave 6</t>
  </si>
  <si>
    <t xml:space="preserve">Phase 3</t>
  </si>
  <si>
    <t xml:space="preserve">US-054</t>
  </si>
  <si>
    <t xml:space="preserve">Shared spaces: membership, roles, RLS</t>
  </si>
  <si>
    <t xml:space="preserve">As a user, I want to create a shared space with members and roles, so that a team or family can collaborate.</t>
  </si>
  <si>
    <t xml:space="preserve">- Given a new space, then I am its owner and can see it in my spaces list
- RLS tests prove a non-member can never read a space's tasks, members or comments
- Roles owner, editor and viewer are enforced at the database level</t>
  </si>
  <si>
    <t xml:space="preserve">US-055</t>
  </si>
  <si>
    <t xml:space="preserve">Agent scopes and confirmations (server-enforced)</t>
  </si>
  <si>
    <t xml:space="preserve">As a space owner, I want to control what the AI agent may do, so that it cannot act beyond my intent.</t>
  </si>
  <si>
    <t xml:space="preserve">- Given agent scopes (read tasks, propose changes, apply changes), then the agent cannot exceed the scope set by the owner
- Every state-changing agent action requires a human confirmation unless the owner enables auto-apply per scope
- Scopes are enforced server-side in the gateway, not only in the UI</t>
  </si>
  <si>
    <t xml:space="preserve">US-054, US-008</t>
  </si>
  <si>
    <t xml:space="preserve">US-056</t>
  </si>
  <si>
    <t xml:space="preserve">Space invites by link or code</t>
  </si>
  <si>
    <t xml:space="preserve">As a space owner, I want to invite people by link or code, so that joining is easy and safe.</t>
  </si>
  <si>
    <t xml:space="preserve">- Given an invite link, when an invitee opens it signed in, then they join with the role set by the owner
- Invites expire after 7 days and can be revoked
- Owners can remove members and removed members lose access immediately</t>
  </si>
  <si>
    <t xml:space="preserve">US-057</t>
  </si>
  <si>
    <t xml:space="preserve">Realtime shared lists</t>
  </si>
  <si>
    <t xml:space="preserve">As a member, I want shared task lists that update in real time, so that everyone sees the same truth.</t>
  </si>
  <si>
    <t xml:space="preserve">- Given two members online, when one completes a task, then the other sees it within 2 seconds
- Offline edits merge through sync with no lost updates (automated two-client test)
- Realtime channels are scoped per space and unsubscribed on leave</t>
  </si>
  <si>
    <t xml:space="preserve">US-054, US-012, US-029</t>
  </si>
  <si>
    <t xml:space="preserve">US-058</t>
  </si>
  <si>
    <t xml:space="preserve">Task assignment and comments</t>
  </si>
  <si>
    <t xml:space="preserve">As a member, I want to assign tasks and comment on them, so that work is coordinated.</t>
  </si>
  <si>
    <t xml:space="preserve">- Given a shared task, when I assign it to a member, then they see it in My Tasks and are notified
- Comments are ordered, editable by the author for 15 minutes, and visible to all members
- Mentions notify the mentioned member only</t>
  </si>
  <si>
    <t xml:space="preserve">US-059</t>
  </si>
  <si>
    <t xml:space="preserve">Space notifications and muting</t>
  </si>
  <si>
    <t xml:space="preserve">As a member, I want notifications for assignments and mentions, so that I do not miss shared work.</t>
  </si>
  <si>
    <t xml:space="preserve">- Given I am assigned or mentioned, then I receive a push within 30 seconds unless in quiet hours
- Notifications are grouped per space and can be muted per space
- Muted spaces send nothing</t>
  </si>
  <si>
    <t xml:space="preserve">US-057, US-032</t>
  </si>
  <si>
    <t xml:space="preserve">US-060</t>
  </si>
  <si>
    <t xml:space="preserve">Shared AI agent via @buddy in spaces</t>
  </si>
  <si>
    <t xml:space="preserve">As a member, I want to @mention the buddy in a space, so that the AI can summarize, suggest and propose changes using shared context.</t>
  </si>
  <si>
    <t xml:space="preserve">- Given '@buddy what is blocking us this week?', then the agent answers from the space's tasks and comments only
- Given a proposed change, then it appears as a pending proposal that a member with permission can approve or reject
- The agent never reads other spaces or private tasks (isolation test)</t>
  </si>
  <si>
    <t xml:space="preserve">US-057, US-055, US-010, US-009, US-041</t>
  </si>
  <si>
    <t xml:space="preserve">US-061</t>
  </si>
  <si>
    <t xml:space="preserve">Agent action audit log</t>
  </si>
  <si>
    <t xml:space="preserve">As a space owner, I want an audit log of everything the agent did, so that I can trust and review it.</t>
  </si>
  <si>
    <t xml:space="preserve">- Given any agent proposal or action, then a log row records who requested it, scope, input digest, result and approver
- Owners can view and filter the log in the app
- Logs are immutable to members and retained 90 days</t>
  </si>
  <si>
    <t xml:space="preserve">US-055, US-060</t>
  </si>
  <si>
    <t xml:space="preserve">US-062</t>
  </si>
  <si>
    <t xml:space="preserve">AI workload-balancing proposals</t>
  </si>
  <si>
    <t xml:space="preserve">As a space owner, I want the AI to suggest how to balance workload across members, so that no one is overloaded.</t>
  </si>
  <si>
    <t xml:space="preserve">- Given open tasks and member capacity, then the agent proposes assignments with a one-line reason each
- Nothing is assigned until a human approves each proposal
- Proposals respect member work hours and existing assignments</t>
  </si>
  <si>
    <t xml:space="preserve">US-060, US-058</t>
  </si>
  <si>
    <t xml:space="preserve">US-063</t>
  </si>
  <si>
    <t xml:space="preserve">Pro subscription via RevenueCat</t>
  </si>
  <si>
    <t xml:space="preserve">As a user, I want to upgrade to Pro, so that I get higher AI limits and Spaces.</t>
  </si>
  <si>
    <t xml:space="preserve">- Given a purchase in the sandbox, then the Pro entitlement activates within 10 seconds and survives reinstall (restore purchases)
- A server webhook updates the subscription table and the entitlement is checked server-side
- Cancelling returns the account to Free at period end</t>
  </si>
  <si>
    <t xml:space="preserve">US-006, US-009</t>
  </si>
  <si>
    <t xml:space="preserve">US-064</t>
  </si>
  <si>
    <t xml:space="preserve">Tier-based AI quotas</t>
  </si>
  <si>
    <t xml:space="preserve">As the product owner, I want quotas that depend on tier, so that cost scales with revenue.</t>
  </si>
  <si>
    <t xml:space="preserve">- Given Free and Pro tiers, then the gateway applies each tier's hourly and daily limits from config
- A Pro user is not blocked at the free limit
- Tier changes apply on the next request</t>
  </si>
  <si>
    <t xml:space="preserve">US-063, US-009</t>
  </si>
  <si>
    <t xml:space="preserve">US-065</t>
  </si>
  <si>
    <t xml:space="preserve">Calendar-aware planning (busy times only)</t>
  </si>
  <si>
    <t xml:space="preserve">As a user, I want the planner to see my calendar events, so that plans avoid meetings.</t>
  </si>
  <si>
    <t xml:space="preserve">- Given calendar permission, then busy blocks for today are excluded from planning windows
- Only busy/free times are sent to the AI, never event titles or attendees
- Denying permission leaves planning unchanged</t>
  </si>
  <si>
    <t xml:space="preserve">US-020, US-018</t>
  </si>
  <si>
    <t xml:space="preserve">US-066</t>
  </si>
  <si>
    <t xml:space="preserve">Home-screen Today widget</t>
  </si>
  <si>
    <t xml:space="preserve">As a user, I want a home-screen widget showing today's top tasks, so that I see them without opening the app.</t>
  </si>
  <si>
    <t xml:space="preserve">- Given the widget, then it shows up to 3 top tasks and refreshes after changes within 15 minutes
- Tapping a task deep-links to its detail
- iOS and Android availability is documented per platform</t>
  </si>
  <si>
    <t xml:space="preserve">US-013, US-021</t>
  </si>
  <si>
    <t xml:space="preserve">US-067</t>
  </si>
  <si>
    <t xml:space="preserve">Experimental on-device parsing</t>
  </si>
  <si>
    <t xml:space="preserve">As a privacy-minded user, I want offline task parsing on my device, so that capture works without internet and without sending text.</t>
  </si>
  <si>
    <t xml:space="preserve">- Given airplane mode, then quick-add parses simple sentences locally and falls back to plain add when confidence is low
- The local model download is optional, shows its size, and can be removed
- On the golden set the local parser reaches at least 75% accuracy and the gap vs cloud is reported</t>
  </si>
  <si>
    <t xml:space="preserve">US-016, US-010, US-025</t>
  </si>
  <si>
    <t xml:space="preserve">Total</t>
  </si>
  <si>
    <t xml:space="preserve">Sprint #</t>
  </si>
  <si>
    <t xml:space="preserve">Est. Points</t>
  </si>
  <si>
    <t xml:space="preserve">Capacity</t>
  </si>
  <si>
    <t xml:space="preserve">Utilization</t>
  </si>
  <si>
    <t xml:space="preserve">Depends on (earlier sprints)</t>
  </si>
  <si>
    <t xml:space="preserve">Deliverables</t>
  </si>
  <si>
    <t xml:space="preserve">Foundations: scaffold, CI, design system, shell, Supabase, email sign-in, local DB, and the AI gateway with rate limits and output contracts.</t>
  </si>
  <si>
    <t xml:space="preserve">US-001, US-002, US-003, US-004, US-005, US-006, US-007, US-008, US-009, US-010</t>
  </si>
  <si>
    <t xml:space="preserve">Bootable app, CI, design system, Supabase, email sign-in, local DB, AI gateway with limits and schemas</t>
  </si>
  <si>
    <t xml:space="preserve">MVP complete: injection hardening, task CRUD and Today/Inbox/detail screens, natural-language quick-add, AI task breakdown, settings shell.</t>
  </si>
  <si>
    <t xml:space="preserve">US-011, US-012, US-013, US-014, US-015, US-016, US-017, US-018</t>
  </si>
  <si>
    <t xml:space="preserve">US-004, US-007, US-008, US-009, US-010</t>
  </si>
  <si>
    <t xml:space="preserve">Working MVP: tasks, Today/Inbox, quick-add parse, AI breakdown, settings shell</t>
  </si>
  <si>
    <t xml:space="preserve">Daily plan (work hours, generation, plan UI), undo for AI tasks, crash reporting, first TestFlight/Play beta and AI evals.</t>
  </si>
  <si>
    <t xml:space="preserve">US-019, US-020, US-021, US-022, US-023, US-024, US-025</t>
  </si>
  <si>
    <t xml:space="preserve">US-001, US-002, US-009, US-010, US-012, US-013, US-015, US-016, US-017, US-018</t>
  </si>
  <si>
    <t xml:space="preserve">Daily plan, undo, Sentry, first beta build, eval harness</t>
  </si>
  <si>
    <t xml:space="preserve">Retention: reminders, permission flow, re-plan, offline sync, lists/tags, recurring tasks.</t>
  </si>
  <si>
    <t xml:space="preserve">US-026, US-027, US-028, US-029, US-030, US-031</t>
  </si>
  <si>
    <t xml:space="preserve">US-006, US-007, US-012, US-018, US-021</t>
  </si>
  <si>
    <t xml:space="preserve">Reminders, offline sync, lists/tags, recurring, re-plan</t>
  </si>
  <si>
    <t xml:space="preserve">Push infrastructure, buddy check-ins, procrastination helper, social sign-in, onboarding, E2E tests.</t>
  </si>
  <si>
    <t xml:space="preserve">US-032, US-033, US-034, US-035, US-036, US-037, US-038</t>
  </si>
  <si>
    <t xml:space="preserve">US-002, US-006, US-008, US-009, US-010, US-013, US-014, US-015, US-018, US-019, US-020, US-026, US-027</t>
  </si>
  <si>
    <t xml:space="preserve">Push + check-ins, procrastination helper, onboarding, E2E suite</t>
  </si>
  <si>
    <t xml:space="preserve">Compliance and buddy chat: data export/deletion, privacy docs, chat, personality, voice, photo.</t>
  </si>
  <si>
    <t xml:space="preserve">US-039, US-040, US-041, US-042, US-043, US-044</t>
  </si>
  <si>
    <t xml:space="preserve">US-006, US-008, US-009, US-010, US-011, US-012, US-015, US-016, US-018, US-029</t>
  </si>
  <si>
    <t xml:space="preserve">Account deletion/export, privacy docs, buddy chat, voice, photo</t>
  </si>
  <si>
    <t xml:space="preserve">Media privacy, weekly review, accessibility, performance, analytics, i18n and the v1.0 store release.</t>
  </si>
  <si>
    <t xml:space="preserve">US-045, US-046, US-047, US-048, US-049, US-050, US-051, US-052</t>
  </si>
  <si>
    <t xml:space="preserve">US-004, US-009, US-010, US-013, US-014, US-015, US-018, US-024, US-037, US-038, US-039, US-040, US-043, US-044</t>
  </si>
  <si>
    <t xml:space="preserve">Weekly review, accessibility, performance, v1.0 store submission</t>
  </si>
  <si>
    <t xml:space="preserve">Search and the Shared Spaces foundation: membership, agent permissions, invites, realtime shared lists.</t>
  </si>
  <si>
    <t xml:space="preserve">US-053, US-054, US-055, US-056, US-057</t>
  </si>
  <si>
    <t xml:space="preserve">US-006, US-008, US-012, US-029, US-030</t>
  </si>
  <si>
    <t xml:space="preserve">Spaces foundation, agent permissions, realtime shared lists, search</t>
  </si>
  <si>
    <t xml:space="preserve">Shared Spaces collaboration and the shared AI agent: assignment, notifications, agent, audit, balancing.</t>
  </si>
  <si>
    <t xml:space="preserve">US-058, US-059, US-060, US-061, US-062</t>
  </si>
  <si>
    <t xml:space="preserve">US-009, US-010, US-032, US-041, US-055, US-057</t>
  </si>
  <si>
    <t xml:space="preserve">Assignment/comments, space agent, audit log, workload balancing</t>
  </si>
  <si>
    <t xml:space="preserve">Monetization and extras: billing, tier quotas, calendar, widgets, experimental on-device AI.</t>
  </si>
  <si>
    <t xml:space="preserve">US-063, US-064, US-065, US-066, US-067</t>
  </si>
  <si>
    <t xml:space="preserve">US-006, US-009, US-010, US-013, US-016, US-018, US-020, US-021, US-025</t>
  </si>
  <si>
    <t xml:space="preserve">Billing and tier quotas, calendar, widgets, experimental on-device AI</t>
  </si>
  <si>
    <t xml:space="preserve">Sum of sprint points</t>
  </si>
  <si>
    <t xml:space="preserve">Sum of backlog points</t>
  </si>
  <si>
    <t xml:space="preserve">Difference (must be 0)</t>
  </si>
  <si>
    <t xml:space="preserve">Capacity is an assumption: solo developer with AI coding agents, 1-week sprints. Edit the blue capacity cells to re-check utilization.</t>
  </si>
  <si>
    <t xml:space="preserve">Task ID</t>
  </si>
  <si>
    <t xml:space="preserve">Category</t>
  </si>
  <si>
    <t xml:space="preserve">Task</t>
  </si>
  <si>
    <t xml:space="preserve">Linked Story</t>
  </si>
  <si>
    <t xml:space="preserve">TT-01</t>
  </si>
  <si>
    <t xml:space="preserve">Infra</t>
  </si>
  <si>
    <t xml:space="preserve">Create GitHub repo, protect main, require CI + 1 review</t>
  </si>
  <si>
    <t xml:space="preserve">TT-02</t>
  </si>
  <si>
    <t xml:space="preserve">Provision Supabase dev/staging/prod projects and EAS env</t>
  </si>
  <si>
    <t xml:space="preserve">TT-03</t>
  </si>
  <si>
    <t xml:space="preserve">Create EAS project, credentials and build profiles (development/preview/production)</t>
  </si>
  <si>
    <t xml:space="preserve">TT-04</t>
  </si>
  <si>
    <t xml:space="preserve">DB</t>
  </si>
  <si>
    <t xml:space="preserve">Drizzle SQLite schema v1 and migration runner</t>
  </si>
  <si>
    <t xml:space="preserve">TT-05</t>
  </si>
  <si>
    <t xml:space="preserve">Postgres schema v1 migrations plus RLS policies for profiles</t>
  </si>
  <si>
    <t xml:space="preserve">TT-06</t>
  </si>
  <si>
    <t xml:space="preserve">Add sync columns and triggers (updated_at, deleted_at, server_seq)</t>
  </si>
  <si>
    <t xml:space="preserve">TT-07</t>
  </si>
  <si>
    <t xml:space="preserve">pg_cron + pg_net schedule for check-ins and token cleanup</t>
  </si>
  <si>
    <t xml:space="preserve">TT-08</t>
  </si>
  <si>
    <t xml:space="preserve">Spaces, members, comments, agent_actions tables with RLS</t>
  </si>
  <si>
    <t xml:space="preserve">TT-09</t>
  </si>
  <si>
    <t xml:space="preserve">API</t>
  </si>
  <si>
    <t xml:space="preserve">Edge Function ai-gateway router and provider interface</t>
  </si>
  <si>
    <t xml:space="preserve">TT-10</t>
  </si>
  <si>
    <t xml:space="preserve">Shared Zod schema package used by app and functions</t>
  </si>
  <si>
    <t xml:space="preserve">TT-11</t>
  </si>
  <si>
    <t xml:space="preserve">sync_pull and sync_push RPCs with conflict rules</t>
  </si>
  <si>
    <t xml:space="preserve">TT-12</t>
  </si>
  <si>
    <t xml:space="preserve">revenuecat-webhook function and subscription table</t>
  </si>
  <si>
    <t xml:space="preserve">TT-13</t>
  </si>
  <si>
    <t xml:space="preserve">FE</t>
  </si>
  <si>
    <t xml:space="preserve">NativeWind theme and tokens, dark mode</t>
  </si>
  <si>
    <t xml:space="preserve">TT-14</t>
  </si>
  <si>
    <t xml:space="preserve">Task repository hooks with TanStack Query and optimistic updates</t>
  </si>
  <si>
    <t xml:space="preserve">TT-15</t>
  </si>
  <si>
    <t xml:space="preserve">Undo store and toast component</t>
  </si>
  <si>
    <t xml:space="preserve">TT-16</t>
  </si>
  <si>
    <t xml:space="preserve">Notification categories with quick-reply actions</t>
  </si>
  <si>
    <t xml:space="preserve">TT-17</t>
  </si>
  <si>
    <t xml:space="preserve">BE</t>
  </si>
  <si>
    <t xml:space="preserve">Versioned prompt templates in repo with eval hooks</t>
  </si>
  <si>
    <t xml:space="preserve">TT-18</t>
  </si>
  <si>
    <t xml:space="preserve">Usage ledger table and quota check function</t>
  </si>
  <si>
    <t xml:space="preserve">TT-19</t>
  </si>
  <si>
    <t xml:space="preserve">Per-route model routing config (cheap model for parse, stronger for plan/review)</t>
  </si>
  <si>
    <t xml:space="preserve">TT-20</t>
  </si>
  <si>
    <t xml:space="preserve">Security</t>
  </si>
  <si>
    <t xml:space="preserve">RLS automated test suite (pgTAP or SQL tests)</t>
  </si>
  <si>
    <t xml:space="preserve">TT-21</t>
  </si>
  <si>
    <t xml:space="preserve">Secrets management and key rotation runbook</t>
  </si>
  <si>
    <t xml:space="preserve">TT-22</t>
  </si>
  <si>
    <t xml:space="preserve">Prompt-injection test corpus (20+ cases) in CI</t>
  </si>
  <si>
    <t xml:space="preserve">TT-23</t>
  </si>
  <si>
    <t xml:space="preserve">Agent scope enforcement middleware in gateway</t>
  </si>
  <si>
    <t xml:space="preserve">TT-24</t>
  </si>
  <si>
    <t xml:space="preserve">DevOps</t>
  </si>
  <si>
    <t xml:space="preserve">GitHub Actions: lint, typecheck, unit, eval, E2E workflows</t>
  </si>
  <si>
    <t xml:space="preserve">TT-25</t>
  </si>
  <si>
    <t xml:space="preserve">EAS Update channels per environment and rollback procedure</t>
  </si>
  <si>
    <t xml:space="preserve">TT-26</t>
  </si>
  <si>
    <t xml:space="preserve">Supabase CLI migration pipeline from PR to staging to prod</t>
  </si>
  <si>
    <t xml:space="preserve">TT-27</t>
  </si>
  <si>
    <t xml:space="preserve">Monitoring</t>
  </si>
  <si>
    <t xml:space="preserve">Sentry init, source map upload, PII scrubbing</t>
  </si>
  <si>
    <t xml:space="preserve">TT-28</t>
  </si>
  <si>
    <t xml:space="preserve">PostHog event taxonomy and consent gate</t>
  </si>
  <si>
    <t xml:space="preserve">TT-29</t>
  </si>
  <si>
    <t xml:space="preserve">AI cost dashboard (SQL view) with daily spend alert</t>
  </si>
  <si>
    <t xml:space="preserve">Area</t>
  </si>
  <si>
    <t xml:space="preserve">Decision</t>
  </si>
  <si>
    <t xml:space="preserve">Rationale</t>
  </si>
  <si>
    <t xml:space="preserve">Alternatives considered</t>
  </si>
  <si>
    <t xml:space="preserve">Client framework</t>
  </si>
  <si>
    <t xml:space="preserve">Expo (latest stable SDK) + React Native, TypeScript strict, Expo Router</t>
  </si>
  <si>
    <t xml:space="preserve">Fast iteration, OTA updates, one codebase; Expo SDK 56 (May 2026) confirmed stable, SDK 57 is listed on expo.dev/sdk - use latest stable at scaffold</t>
  </si>
  <si>
    <t xml:space="preserve">Bare React Native, Flutter</t>
  </si>
  <si>
    <t xml:space="preserve">Styling</t>
  </si>
  <si>
    <t xml:space="preserve">NativeWind (Tailwind for RN) with token theme</t>
  </si>
  <si>
    <t xml:space="preserve">Utility styling, dark mode, fast UI work</t>
  </si>
  <si>
    <t xml:space="preserve">StyleSheet only, Tamagui, Unistyles</t>
  </si>
  <si>
    <t xml:space="preserve">Client state</t>
  </si>
  <si>
    <t xml:space="preserve">Zustand for UI state, TanStack Query for async/server state</t>
  </si>
  <si>
    <t xml:space="preserve">Small, predictable, well supported</t>
  </si>
  <si>
    <t xml:space="preserve">Redux Toolkit, Jotai</t>
  </si>
  <si>
    <t xml:space="preserve">Forms/validation</t>
  </si>
  <si>
    <t xml:space="preserve">React Hook Form + Zod (shared schemas)</t>
  </si>
  <si>
    <t xml:space="preserve">One schema validates app input and AI output</t>
  </si>
  <si>
    <t xml:space="preserve">Formik, Yup</t>
  </si>
  <si>
    <t xml:space="preserve">Local database</t>
  </si>
  <si>
    <t xml:space="preserve">expo-sqlite + Drizzle ORM</t>
  </si>
  <si>
    <t xml:space="preserve">Offline-first, typed queries, FTS5 for search</t>
  </si>
  <si>
    <t xml:space="preserve">WatermelonDB, MMKV-only, Realm</t>
  </si>
  <si>
    <t xml:space="preserve">Backend platform</t>
  </si>
  <si>
    <t xml:space="preserve">Supabase (Postgres, Auth, Realtime, Storage, Edge Functions)</t>
  </si>
  <si>
    <t xml:space="preserve">One platform for auth, data, realtime and server code; RLS for isolation</t>
  </si>
  <si>
    <t xml:space="preserve">Firebase, custom Node API</t>
  </si>
  <si>
    <t xml:space="preserve">Sync</t>
  </si>
  <si>
    <t xml:space="preserve">Custom last-write-wins sync over RPC with tombstones (v1); revisit CRDT for Spaces</t>
  </si>
  <si>
    <t xml:space="preserve">Simple and testable for single-user data; Spaces need stronger guarantees</t>
  </si>
  <si>
    <t xml:space="preserve">PowerSync, ElectricSQL, Replicache</t>
  </si>
  <si>
    <t xml:space="preserve">AI provider</t>
  </si>
  <si>
    <t xml:space="preserve">Claude via Edge Function gateway; cheaper model for parse/check-ins, stronger model for plan/review/chat</t>
  </si>
  <si>
    <t xml:space="preserve">Keys server-side, cost control per route, structured outputs</t>
  </si>
  <si>
    <t xml:space="preserve">Direct from client (rejected: key exposure)</t>
  </si>
  <si>
    <t xml:space="preserve">AI output safety</t>
  </si>
  <si>
    <t xml:space="preserve">JSON-schema validation + one repair retry + typed errors; actions always user-confirmed</t>
  </si>
  <si>
    <t xml:space="preserve">Prevents bad data and unsafe actions</t>
  </si>
  <si>
    <t xml:space="preserve">Free-text parsing</t>
  </si>
  <si>
    <t xml:space="preserve">Voice input</t>
  </si>
  <si>
    <t xml:space="preserve">expo-speech-recognition (on-device where available) feeding the same parser; cloud STT only as a later fallback</t>
  </si>
  <si>
    <t xml:space="preserve">Free, private, no extra vendor; requires a development build and per-OS locale checks</t>
  </si>
  <si>
    <t xml:space="preserve">Cloud STT from day one (cost, privacy)</t>
  </si>
  <si>
    <t xml:space="preserve">Photo input</t>
  </si>
  <si>
    <t xml:space="preserve">expo-image-picker/camera, resize on device, vision model through the gateway</t>
  </si>
  <si>
    <t xml:space="preserve">Reuses the gateway and guardrails</t>
  </si>
  <si>
    <t xml:space="preserve">Separate OCR vendor</t>
  </si>
  <si>
    <t xml:space="preserve">Notifications</t>
  </si>
  <si>
    <t xml:space="preserve">expo-notifications: local for reminders, Expo Push for server check-ins</t>
  </si>
  <si>
    <t xml:space="preserve">Offline reliability for reminders, remote reach for nudges</t>
  </si>
  <si>
    <t xml:space="preserve">OneSignal, FCM direct</t>
  </si>
  <si>
    <t xml:space="preserve">Realtime (Spaces)</t>
  </si>
  <si>
    <t xml:space="preserve">Supabase Realtime channels scoped per space</t>
  </si>
  <si>
    <t xml:space="preserve">Native to the stack, RLS-aware</t>
  </si>
  <si>
    <t xml:space="preserve">Custom WebSocket server</t>
  </si>
  <si>
    <t xml:space="preserve">Billing</t>
  </si>
  <si>
    <t xml:space="preserve">RevenueCat with webhook to Supabase</t>
  </si>
  <si>
    <t xml:space="preserve">Handles store receipts and entitlements</t>
  </si>
  <si>
    <t xml:space="preserve">Direct StoreKit/Play Billing</t>
  </si>
  <si>
    <t xml:space="preserve">Sentry (crashes) + PostHog (product analytics, consent-gated)</t>
  </si>
  <si>
    <t xml:space="preserve">Standard, cheap at small scale</t>
  </si>
  <si>
    <t xml:space="preserve">Firebase Crashlytics</t>
  </si>
  <si>
    <t xml:space="preserve">Testing</t>
  </si>
  <si>
    <t xml:space="preserve">Jest + RNTL (unit), Maestro (E2E), custom eval runner (AI)</t>
  </si>
  <si>
    <t xml:space="preserve">Covers logic, flows and AI regressions</t>
  </si>
  <si>
    <t xml:space="preserve">Detox</t>
  </si>
  <si>
    <t xml:space="preserve">CI/CD</t>
  </si>
  <si>
    <t xml:space="preserve">GitHub Actions + EAS Build/Submit/Update</t>
  </si>
  <si>
    <t xml:space="preserve">Matches Expo workflow</t>
  </si>
  <si>
    <t xml:space="preserve">Bitrise, Codemagic</t>
  </si>
  <si>
    <t xml:space="preserve">Expo Widgets (iOS stable in SDK 56); Android widget approach decided in Phase 3</t>
  </si>
  <si>
    <t xml:space="preserve">Per Expo SDK 56 release notes</t>
  </si>
  <si>
    <t xml:space="preserve">Native modules</t>
  </si>
  <si>
    <t xml:space="preserve">On-device AI (experimental)</t>
  </si>
  <si>
    <t xml:space="preserve">Evaluate ExecuTorch or llama.rn for offline parse in Phase 3</t>
  </si>
  <si>
    <t xml:space="preserve">Privacy/offline differentiator; needs eval gate</t>
  </si>
  <si>
    <t xml:space="preserve">Skip</t>
  </si>
  <si>
    <t xml:space="preserve">Entity / Table</t>
  </si>
  <si>
    <t xml:space="preserve">Store</t>
  </si>
  <si>
    <t xml:space="preserve">Key fields</t>
  </si>
  <si>
    <t xml:space="preserve">Relationships</t>
  </si>
  <si>
    <t xml:space="preserve">Access (RLS)</t>
  </si>
  <si>
    <t xml:space="preserve">profiles</t>
  </si>
  <si>
    <t xml:space="preserve">Postgres</t>
  </si>
  <si>
    <t xml:space="preserve">id (uuid, = auth.users.id), display_name, timezone, locale, work_start, work_end, daily_capacity_min, buddy_tone, buddy_lang, onboarded_at</t>
  </si>
  <si>
    <t xml:space="preserve">1:1 auth.users</t>
  </si>
  <si>
    <t xml:space="preserve">RLS: owner only</t>
  </si>
  <si>
    <t xml:space="preserve">tasks</t>
  </si>
  <si>
    <t xml:space="preserve">SQLite + Postgres</t>
  </si>
  <si>
    <t xml:space="preserve">id (uuidv7), user_id, space_id (nullable), list_id, title, notes, due_at, priority, status, estimate_min, completed_at, postpone_count, source (manual/ai/voice/photo), rrule, parent_task_id, updated_at, deleted_at, server_seq</t>
  </si>
  <si>
    <t xml:space="preserve">N:1 lists, N:1 spaces, self-ref parent</t>
  </si>
  <si>
    <t xml:space="preserve">RLS: owner or space member by role</t>
  </si>
  <si>
    <t xml:space="preserve">subtasks</t>
  </si>
  <si>
    <t xml:space="preserve">id, task_id, title, done, estimate_min, position, updated_at, deleted_at</t>
  </si>
  <si>
    <t xml:space="preserve">N:1 tasks</t>
  </si>
  <si>
    <t xml:space="preserve">Inherits task access</t>
  </si>
  <si>
    <t xml:space="preserve">lists</t>
  </si>
  <si>
    <t xml:space="preserve">id, user_id, space_id, name, color, position, updated_at, deleted_at</t>
  </si>
  <si>
    <t xml:space="preserve">1:N tasks</t>
  </si>
  <si>
    <t xml:space="preserve">RLS as tasks</t>
  </si>
  <si>
    <t xml:space="preserve">tags / task_tags</t>
  </si>
  <si>
    <t xml:space="preserve">tags(id, user_id, name); task_tags(task_id, tag_id)</t>
  </si>
  <si>
    <t xml:space="preserve">M:N tasks-tags</t>
  </si>
  <si>
    <t xml:space="preserve">Owner only</t>
  </si>
  <si>
    <t xml:space="preserve">plans / plan_blocks</t>
  </si>
  <si>
    <t xml:space="preserve">plans(id, user_id, date, accepted_at, model, prompt_version); plan_blocks(id, plan_id, task_id, start_at, end_at, pinned, reason)</t>
  </si>
  <si>
    <t xml:space="preserve">1:N</t>
  </si>
  <si>
    <t xml:space="preserve">device_tokens</t>
  </si>
  <si>
    <t xml:space="preserve">id, user_id, expo_push_token, platform, last_seen_at</t>
  </si>
  <si>
    <t xml:space="preserve">N:1 users</t>
  </si>
  <si>
    <t xml:space="preserve">Owner only; pruned on invalid receipt</t>
  </si>
  <si>
    <t xml:space="preserve">notification_prefs</t>
  </si>
  <si>
    <t xml:space="preserve">user_id, quiet_start, quiet_end, checkins_enabled, daily_cap</t>
  </si>
  <si>
    <t xml:space="preserve">1:1 users</t>
  </si>
  <si>
    <t xml:space="preserve">ai_usage_ledger</t>
  </si>
  <si>
    <t xml:space="preserve">id, user_id, route, model, input_tokens, output_tokens, cost_usd_est, prompt_version, status, created_at</t>
  </si>
  <si>
    <t xml:space="preserve">Insert by service role; owner can read own aggregate</t>
  </si>
  <si>
    <t xml:space="preserve">weekly_reviews</t>
  </si>
  <si>
    <t xml:space="preserve">id, user_id, week_start, stats_json, review_json, created_at</t>
  </si>
  <si>
    <t xml:space="preserve">spaces / space_members</t>
  </si>
  <si>
    <t xml:space="preserve">spaces(id, name, owner_id, agent_scopes jsonb); space_members(space_id, user_id, role)</t>
  </si>
  <si>
    <t xml:space="preserve">M:N users-spaces</t>
  </si>
  <si>
    <t xml:space="preserve">RLS: members only</t>
  </si>
  <si>
    <t xml:space="preserve">space_invites</t>
  </si>
  <si>
    <t xml:space="preserve">id, space_id, code_hash, role, expires_at, revoked_at</t>
  </si>
  <si>
    <t xml:space="preserve">N:1 spaces</t>
  </si>
  <si>
    <t xml:space="preserve">Owner/editor create; hashed codes</t>
  </si>
  <si>
    <t xml:space="preserve">task_comments</t>
  </si>
  <si>
    <t xml:space="preserve">id, task_id, author_id, body, mentions[], created_at, edited_at</t>
  </si>
  <si>
    <t xml:space="preserve">Space members</t>
  </si>
  <si>
    <t xml:space="preserve">agent_actions</t>
  </si>
  <si>
    <t xml:space="preserve">id, space_id, requested_by, scope, input_digest, proposal_json, status (pending/approved/rejected/applied), approver_id, created_at</t>
  </si>
  <si>
    <t xml:space="preserve">Members read; no member writes (service role)</t>
  </si>
  <si>
    <t xml:space="preserve">subscriptions</t>
  </si>
  <si>
    <t xml:space="preserve">user_id, entitlement, product_id, period_end, store, updated_at</t>
  </si>
  <si>
    <t xml:space="preserve">Webhook writes; owner read</t>
  </si>
  <si>
    <t xml:space="preserve">Endpoint</t>
  </si>
  <si>
    <t xml:space="preserve">Method</t>
  </si>
  <si>
    <t xml:space="preserve">Request</t>
  </si>
  <si>
    <t xml:space="preserve">Response</t>
  </si>
  <si>
    <t xml:space="preserve">Auth</t>
  </si>
  <si>
    <t xml:space="preserve">Status codes</t>
  </si>
  <si>
    <t xml:space="preserve">Story</t>
  </si>
  <si>
    <t xml:space="preserve">/functions/v1/ai-gateway/parse</t>
  </si>
  <si>
    <t xml:space="preserve">POST</t>
  </si>
  <si>
    <t xml:space="preserve">Parse free text into tasks</t>
  </si>
  <si>
    <t xml:space="preserve">{ text, timezone, now, locale, lists[] }</t>
  </si>
  <si>
    <t xml:space="preserve">{ tasks: [{ title, dueAt, priority, list, notes, confidence }], promptVersion }</t>
  </si>
  <si>
    <t xml:space="preserve">Supabase JWT</t>
  </si>
  <si>
    <t xml:space="preserve">200, 400, 401, 413, 429, 502</t>
  </si>
  <si>
    <t xml:space="preserve">/functions/v1/ai-gateway/breakdown</t>
  </si>
  <si>
    <t xml:space="preserve">Break a task into subtasks</t>
  </si>
  <si>
    <t xml:space="preserve">{ task: { id, title, notes, dueAt }, maxSubtasks }</t>
  </si>
  <si>
    <t xml:space="preserve">{ subtasks: [{ title, estimateMin }], totalMin }</t>
  </si>
  <si>
    <t xml:space="preserve">200, 400, 401, 429, 502</t>
  </si>
  <si>
    <t xml:space="preserve">/functions/v1/ai-gateway/plan</t>
  </si>
  <si>
    <t xml:space="preserve">Generate a daily plan</t>
  </si>
  <si>
    <t xml:space="preserve">{ date, timezone, workHours, capacityMin, tasks[], fixedBlocks[] }</t>
  </si>
  <si>
    <t xml:space="preserve">{ blocks: [{ taskId, startAt, endAt, reason }], unscheduled: [{ taskId, reason }] }</t>
  </si>
  <si>
    <t xml:space="preserve">/functions/v1/ai-gateway/starter-step</t>
  </si>
  <si>
    <t xml:space="preserve">Suggest a tiny first step</t>
  </si>
  <si>
    <t xml:space="preserve">{ task, postponeCount, blockerNote? }</t>
  </si>
  <si>
    <t xml:space="preserve">{ step, estimateMin, encouragement }</t>
  </si>
  <si>
    <t xml:space="preserve">/functions/v1/ai-gateway/chat</t>
  </si>
  <si>
    <t xml:space="preserve">POST (SSE)</t>
  </si>
  <si>
    <t xml:space="preserve">Streaming buddy chat with action proposals</t>
  </si>
  <si>
    <t xml:space="preserve">{ messages[], context: { tasksDigest[] } }</t>
  </si>
  <si>
    <t xml:space="preserve">SSE events: text, proposal{ action, args } (never auto-applied)</t>
  </si>
  <si>
    <t xml:space="preserve">200, 401, 429, 502</t>
  </si>
  <si>
    <t xml:space="preserve">/functions/v1/ai-gateway/review</t>
  </si>
  <si>
    <t xml:space="preserve">Weekly review narrative</t>
  </si>
  <si>
    <t xml:space="preserve">{ weekStats, completed[], slipped[] }</t>
  </si>
  <si>
    <t xml:space="preserve">{ summary, wins[], patterns[], suggestion }</t>
  </si>
  <si>
    <t xml:space="preserve">/functions/v1/ai-gateway/vision-extract</t>
  </si>
  <si>
    <t xml:space="preserve">Extract tasks from a photo</t>
  </si>
  <si>
    <t xml:space="preserve">{ storagePath, timezone }</t>
  </si>
  <si>
    <t xml:space="preserve">{ tasks[], rawText }</t>
  </si>
  <si>
    <t xml:space="preserve">/functions/v1/ai-gateway/space-agent</t>
  </si>
  <si>
    <t xml:space="preserve">Shared agent in a space</t>
  </si>
  <si>
    <t xml:space="preserve">{ spaceId, message }</t>
  </si>
  <si>
    <t xml:space="preserve">SSE: text, proposal rows written to agent_actions (pending)</t>
  </si>
  <si>
    <t xml:space="preserve">Supabase JWT + space role + agent scope</t>
  </si>
  <si>
    <t xml:space="preserve">200, 401, 403, 429, 502</t>
  </si>
  <si>
    <t xml:space="preserve">rpc/sync_pull</t>
  </si>
  <si>
    <t xml:space="preserve">Fetch changes since a server sequence</t>
  </si>
  <si>
    <t xml:space="preserve">{ since_seq }</t>
  </si>
  <si>
    <t xml:space="preserve">{ rows[], next_seq }</t>
  </si>
  <si>
    <t xml:space="preserve">200, 401</t>
  </si>
  <si>
    <t xml:space="preserve">rpc/sync_push</t>
  </si>
  <si>
    <t xml:space="preserve">Push local changes</t>
  </si>
  <si>
    <t xml:space="preserve">{ ops[] }</t>
  </si>
  <si>
    <t xml:space="preserve">{ accepted[], conflicts[] }</t>
  </si>
  <si>
    <t xml:space="preserve">200, 401, 409</t>
  </si>
  <si>
    <t xml:space="preserve">/functions/v1/send-checkins</t>
  </si>
  <si>
    <t xml:space="preserve">POST (cron)</t>
  </si>
  <si>
    <t xml:space="preserve">Generate and send check-ins</t>
  </si>
  <si>
    <t xml:space="preserve">service-role internal</t>
  </si>
  <si>
    <t xml:space="preserve">{ sent, skipped }</t>
  </si>
  <si>
    <t xml:space="preserve">Service role only</t>
  </si>
  <si>
    <t xml:space="preserve">200</t>
  </si>
  <si>
    <t xml:space="preserve">/functions/v1/revenuecat-webhook</t>
  </si>
  <si>
    <t xml:space="preserve">Update subscription state</t>
  </si>
  <si>
    <t xml:space="preserve">RevenueCat event</t>
  </si>
  <si>
    <t xml:space="preserve">{ ok }</t>
  </si>
  <si>
    <t xml:space="preserve">Shared secret header</t>
  </si>
  <si>
    <t xml:space="preserve">rpc/create_invite, rpc/accept_invite</t>
  </si>
  <si>
    <t xml:space="preserve">Create and redeem space invites</t>
  </si>
  <si>
    <t xml:space="preserve">{ spaceId, role } / { code }</t>
  </si>
  <si>
    <t xml:space="preserve">{ code } / { spaceId, role }</t>
  </si>
  <si>
    <t xml:space="preserve">200, 403, 404, 410</t>
  </si>
  <si>
    <t xml:space="preserve">rpc/export_my_data, rpc/delete_my_account</t>
  </si>
  <si>
    <t xml:space="preserve">{}</t>
  </si>
  <si>
    <t xml:space="preserve">{ file } / { ok }</t>
  </si>
  <si>
    <t xml:space="preserve">Epic / Feature</t>
  </si>
  <si>
    <t xml:space="preserve">Unit</t>
  </si>
  <si>
    <t xml:space="preserve">Integration</t>
  </si>
  <si>
    <t xml:space="preserve">E2E</t>
  </si>
  <si>
    <t xml:space="preserve">Regression</t>
  </si>
  <si>
    <t xml:space="preserve">UAT</t>
  </si>
  <si>
    <t xml:space="preserve">Edge &amp; error cases</t>
  </si>
  <si>
    <t xml:space="preserve">Security cases</t>
  </si>
  <si>
    <t xml:space="preserve">EP-01 Foundations</t>
  </si>
  <si>
    <t xml:space="preserve">Lint/typecheck rules; helper tests</t>
  </si>
  <si>
    <t xml:space="preserve">CI pipeline dry run</t>
  </si>
  <si>
    <t xml:space="preserve">Smoke boot on iOS+Android</t>
  </si>
  <si>
    <t xml:space="preserve">Run full CI on main nightly</t>
  </si>
  <si>
    <t xml:space="preserve">Fresh-clone install on a clean machine</t>
  </si>
  <si>
    <t xml:space="preserve">Missing env var fails loudly</t>
  </si>
  <si>
    <t xml:space="preserve">No secrets committed (secret scan)</t>
  </si>
  <si>
    <t xml:space="preserve">EP-02 Auth</t>
  </si>
  <si>
    <t xml:space="preserve">Session store; OTP form validation</t>
  </si>
  <si>
    <t xml:space="preserve">Sign in against staging Supabase</t>
  </si>
  <si>
    <t xml:space="preserve">Sign in, restart, still signed in</t>
  </si>
  <si>
    <t xml:space="preserve">Auth after app update</t>
  </si>
  <si>
    <t xml:space="preserve">Sign in with 3 testers</t>
  </si>
  <si>
    <t xml:space="preserve">Expired/wrong OTP, no network</t>
  </si>
  <si>
    <t xml:space="preserve">RLS cross-user tests; token storage in secure store</t>
  </si>
  <si>
    <t xml:space="preserve">EP-03 Task core &amp; sync</t>
  </si>
  <si>
    <t xml:space="preserve">Repositories; RRULE edge cases; conflict resolver</t>
  </si>
  <si>
    <t xml:space="preserve">SQLite migrations; sync pull/push against staging</t>
  </si>
  <si>
    <t xml:space="preserve">Create/complete/delete; two-device sync</t>
  </si>
  <si>
    <t xml:space="preserve">Task counts before/after upgrade</t>
  </si>
  <si>
    <t xml:space="preserve">Daily use for 1 week</t>
  </si>
  <si>
    <t xml:space="preserve">Airplane mode, clock skew, DST, 10k tasks</t>
  </si>
  <si>
    <t xml:space="preserve">RLS on tasks; tombstone handling</t>
  </si>
  <si>
    <t xml:space="preserve">EP-04 AI gateway</t>
  </si>
  <si>
    <t xml:space="preserve">Schema validators; quota math</t>
  </si>
  <si>
    <t xml:space="preserve">Gateway with mocked provider</t>
  </si>
  <si>
    <t xml:space="preserve">Quick-add happy path</t>
  </si>
  <si>
    <t xml:space="preserve">Rate limit and quota behavior</t>
  </si>
  <si>
    <t xml:space="preserve">Beta user cost review</t>
  </si>
  <si>
    <t xml:space="preserve">Provider timeout, 429, malformed JSON</t>
  </si>
  <si>
    <t xml:space="preserve">Injection corpus; key not in bundle; JWT required</t>
  </si>
  <si>
    <t xml:space="preserve">EP-05 Capture</t>
  </si>
  <si>
    <t xml:space="preserve">Parse result mapping</t>
  </si>
  <si>
    <t xml:space="preserve">Parse with golden set</t>
  </si>
  <si>
    <t xml:space="preserve">Type sentence, review, save</t>
  </si>
  <si>
    <t xml:space="preserve">Eval pass rate vs baseline</t>
  </si>
  <si>
    <t xml:space="preserve">5 testers type real tasks</t>
  </si>
  <si>
    <t xml:space="preserve">Ambiguous dates, emoji, 2,000-char input</t>
  </si>
  <si>
    <t xml:space="preserve">Prompt isolation</t>
  </si>
  <si>
    <t xml:space="preserve">EP-06 Breakdown</t>
  </si>
  <si>
    <t xml:space="preserve">Subtask merge logic</t>
  </si>
  <si>
    <t xml:space="preserve">Breakdown golden set</t>
  </si>
  <si>
    <t xml:space="preserve">Break down, accept some, regenerate</t>
  </si>
  <si>
    <t xml:space="preserve">Eval baseline</t>
  </si>
  <si>
    <t xml:space="preserve">Testers rate usefulness 1-5</t>
  </si>
  <si>
    <t xml:space="preserve">One-word task, very long task</t>
  </si>
  <si>
    <t xml:space="preserve">Output sanitized before render</t>
  </si>
  <si>
    <t xml:space="preserve">EP-07 Daily plan</t>
  </si>
  <si>
    <t xml:space="preserve">Capacity math, overlap checks</t>
  </si>
  <si>
    <t xml:space="preserve">Plan golden set; re-plan</t>
  </si>
  <si>
    <t xml:space="preserve">Generate, reorder, accept</t>
  </si>
  <si>
    <t xml:space="preserve">Plan constraints never violated</t>
  </si>
  <si>
    <t xml:space="preserve">Testers follow a plan for 3 days</t>
  </si>
  <si>
    <t xml:space="preserve">No tasks, all tasks overdue, DST day</t>
  </si>
  <si>
    <t xml:space="preserve">No other user data in prompt</t>
  </si>
  <si>
    <t xml:space="preserve">EP-08 Notifications</t>
  </si>
  <si>
    <t xml:space="preserve">Quiet-hours logic</t>
  </si>
  <si>
    <t xml:space="preserve">Local schedule; push send to sandbox</t>
  </si>
  <si>
    <t xml:space="preserve">Reminder fires; quick action works</t>
  </si>
  <si>
    <t xml:space="preserve">Cancel on complete/delete</t>
  </si>
  <si>
    <t xml:space="preserve">Real devices over 3 days</t>
  </si>
  <si>
    <t xml:space="preserve">Permission denied, token invalid, timezone change</t>
  </si>
  <si>
    <t xml:space="preserve">Daily push cap server-side</t>
  </si>
  <si>
    <t xml:space="preserve">EP-09 Buddy chat &amp; helper</t>
  </si>
  <si>
    <t xml:space="preserve">Proposal parser</t>
  </si>
  <si>
    <t xml:space="preserve">Chat with mocked provider</t>
  </si>
  <si>
    <t xml:space="preserve">Chat proposes then confirms change</t>
  </si>
  <si>
    <t xml:space="preserve">Eval tone/safety set</t>
  </si>
  <si>
    <t xml:space="preserve">Testers try 10 prompts</t>
  </si>
  <si>
    <t xml:space="preserve">Long history, offline mid-stream</t>
  </si>
  <si>
    <t xml:space="preserve">Actions require confirm; injection via task titles</t>
  </si>
  <si>
    <t xml:space="preserve">EP-10 Voice &amp; photo</t>
  </si>
  <si>
    <t xml:space="preserve">Image resize; locale mapping</t>
  </si>
  <si>
    <t xml:space="preserve">Upload and delete job</t>
  </si>
  <si>
    <t xml:space="preserve">Speak a task; photo a list</t>
  </si>
  <si>
    <t xml:space="preserve">Deletion within 24h</t>
  </si>
  <si>
    <t xml:space="preserve">Taglish speakers test</t>
  </si>
  <si>
    <t xml:space="preserve">Noisy audio, blurry photo, unsupported locale</t>
  </si>
  <si>
    <t xml:space="preserve">Media deletion; consent captured</t>
  </si>
  <si>
    <t xml:space="preserve">EP-11 Weekly review</t>
  </si>
  <si>
    <t xml:space="preserve">Stats SQL equals JS</t>
  </si>
  <si>
    <t xml:space="preserve">Review generation</t>
  </si>
  <si>
    <t xml:space="preserve">Open review on Sunday</t>
  </si>
  <si>
    <t xml:space="preserve">Numbers match stats</t>
  </si>
  <si>
    <t xml:space="preserve">Testers read two reviews</t>
  </si>
  <si>
    <t xml:space="preserve">Empty week</t>
  </si>
  <si>
    <t xml:space="preserve">No hallucinated numbers</t>
  </si>
  <si>
    <t xml:space="preserve">EP-12 Shared Spaces</t>
  </si>
  <si>
    <t xml:space="preserve">Role checks; merge rules</t>
  </si>
  <si>
    <t xml:space="preserve">RLS suite; realtime two-client test</t>
  </si>
  <si>
    <t xml:space="preserve">Invite, join, assign, comment</t>
  </si>
  <si>
    <t xml:space="preserve">Isolation between spaces</t>
  </si>
  <si>
    <t xml:space="preserve">Pilot with 2 small teams</t>
  </si>
  <si>
    <t xml:space="preserve">Offline edits, removed member, expired invite</t>
  </si>
  <si>
    <t xml:space="preserve">Cross-space isolation; agent scope enforcement; audit immutability</t>
  </si>
  <si>
    <t xml:space="preserve">EP-13 Compliance &amp; billing</t>
  </si>
  <si>
    <t xml:space="preserve">Entitlement mapping</t>
  </si>
  <si>
    <t xml:space="preserve">Webhook to subscriptions</t>
  </si>
  <si>
    <t xml:space="preserve">Purchase, restore, cancel (sandbox)</t>
  </si>
  <si>
    <t xml:space="preserve">Quota tier switching</t>
  </si>
  <si>
    <t xml:space="preserve">Store review dry run</t>
  </si>
  <si>
    <t xml:space="preserve">Refund, restore on new device</t>
  </si>
  <si>
    <t xml:space="preserve">Account deletion completeness</t>
  </si>
  <si>
    <t xml:space="preserve">EP-14 Quality</t>
  </si>
  <si>
    <t xml:space="preserve">Eval runner</t>
  </si>
  <si>
    <t xml:space="preserve">CI gating</t>
  </si>
  <si>
    <t xml:space="preserve">Maestro critical flows</t>
  </si>
  <si>
    <t xml:space="preserve">Perf budget checks</t>
  </si>
  <si>
    <t xml:space="preserve">Accessibility audit with screen reader</t>
  </si>
  <si>
    <t xml:space="preserve">200% font, low-end Android</t>
  </si>
  <si>
    <t xml:space="preserve">PII scrubbing in Sentry</t>
  </si>
  <si>
    <t xml:space="preserve">Approach</t>
  </si>
  <si>
    <t xml:space="preserve">Repository</t>
  </si>
  <si>
    <t xml:space="preserve">Single GitHub repo (app + supabase/ functions + migrations + docs); pnpm workspaces for shared packages</t>
  </si>
  <si>
    <t xml:space="preserve">Branching</t>
  </si>
  <si>
    <t xml:space="preserve">Trunk-based; branches `&lt;type&gt;/tb-&lt;ticket&gt;/&lt;short-kebab-title&gt;`; squash-merge; Conventional Commits `feat(scope): summary (TB-###)`</t>
  </si>
  <si>
    <t xml:space="preserve">CI</t>
  </si>
  <si>
    <t xml:space="preserve">GitHub Actions: lint, typecheck, unit tests, secret scan, AI evals on prompt/model changes, Maestro on main</t>
  </si>
  <si>
    <t xml:space="preserve">CD (app)</t>
  </si>
  <si>
    <t xml:space="preserve">EAS Build for native changes; EAS Update (OTA) for JS-only changes via development/preview/production channels; EAS Submit to TestFlight/Play</t>
  </si>
  <si>
    <t xml:space="preserve">CD (backend)</t>
  </si>
  <si>
    <t xml:space="preserve">Supabase CLI migrations PR -&gt; staging -&gt; prod; Edge Functions deployed from CI</t>
  </si>
  <si>
    <t xml:space="preserve">Environments</t>
  </si>
  <si>
    <t xml:space="preserve">dev (local + Supabase dev), staging (internal testers), prod; separate Supabase projects and EAS env</t>
  </si>
  <si>
    <t xml:space="preserve">Secrets</t>
  </si>
  <si>
    <t xml:space="preserve">LLM key and service-role key only in Supabase secrets/CI secrets; never in app bundle</t>
  </si>
  <si>
    <t xml:space="preserve">Sentry crashes and release health; Supabase logs; AI cost dashboard with daily spend alert</t>
  </si>
  <si>
    <t xml:space="preserve">Logging</t>
  </si>
  <si>
    <t xml:space="preserve">Structured logs with request id; no task text in logs; AI requests log metadata only</t>
  </si>
  <si>
    <t xml:space="preserve">Backup</t>
  </si>
  <si>
    <t xml:space="preserve">Supabase point-in-time recovery enabled on prod; weekly export of ledger tables</t>
  </si>
  <si>
    <t xml:space="preserve">Disaster recovery</t>
  </si>
  <si>
    <t xml:space="preserve">Restore PITR to new project; OTA rollback to last good update; previous store build kept available; RTO 4h, RPO 15 min (targets)</t>
  </si>
  <si>
    <t xml:space="preserve">Release process</t>
  </si>
  <si>
    <t xml:space="preserve">Beta weekly; production release after checklist: E2E green, eval baseline met, privacy labels verified</t>
  </si>
  <si>
    <t xml:space="preserve">Risk</t>
  </si>
  <si>
    <t xml:space="preserve">Impact</t>
  </si>
  <si>
    <t xml:space="preserve">Probability</t>
  </si>
  <si>
    <t xml:space="preserve">Mitigation</t>
  </si>
  <si>
    <t xml:space="preserve">Owner</t>
  </si>
  <si>
    <t xml:space="preserve">AI cost grows faster than revenue</t>
  </si>
  <si>
    <t xml:space="preserve">High</t>
  </si>
  <si>
    <t xml:space="preserve">Medium</t>
  </si>
  <si>
    <t xml:space="preserve">Per-user rate limits and quotas (US-009), cheap model for parse, usage ledger and spend alert, tiered quotas</t>
  </si>
  <si>
    <t xml:space="preserve">Prompt injection or unsafe AI actions</t>
  </si>
  <si>
    <t xml:space="preserve">Input caps, schema validation, no server-side action execution, user confirmation, injection corpus in CI</t>
  </si>
  <si>
    <t xml:space="preserve">AI output quality regresses silently</t>
  </si>
  <si>
    <t xml:space="preserve">Golden sets and CI regression gate (US-025)</t>
  </si>
  <si>
    <t xml:space="preserve">Data loss or duplicates during sync</t>
  </si>
  <si>
    <t xml:space="preserve">Tombstones, two-client tests, soft deletes, backups</t>
  </si>
  <si>
    <t xml:space="preserve">App Store rejection (AI disclosure, account deletion, sign-in rules)</t>
  </si>
  <si>
    <t xml:space="preserve">Compliance stories before release; Sign in with Apple when social sign-in exists</t>
  </si>
  <si>
    <t xml:space="preserve">Solo-capacity slip (velocity below 30)</t>
  </si>
  <si>
    <t xml:space="preserve">MVP scope cut order: breakdown, then edit/undo; weekly re-plan of sprints</t>
  </si>
  <si>
    <t xml:space="preserve">Speech recognition quality for Taglish</t>
  </si>
  <si>
    <t xml:space="preserve">Test locales early; allow typing fallback; evaluate cloud STT fallback</t>
  </si>
  <si>
    <t xml:space="preserve">Cross-space data leak in Shared Spaces</t>
  </si>
  <si>
    <t xml:space="preserve">Low</t>
  </si>
  <si>
    <t xml:space="preserve">RLS tests, agent scope enforcement server-side, isolation tests</t>
  </si>
  <si>
    <t xml:space="preserve">Notification fatigue causes uninstalls</t>
  </si>
  <si>
    <t xml:space="preserve">Daily cap, quiet hours, user-controlled frequency</t>
  </si>
  <si>
    <t xml:space="preserve">Expo SDK / library breaking changes (e.g. Router migration)</t>
  </si>
  <si>
    <t xml:space="preserve">Pin versions, upgrade per SDK with a dedicated ticket, use Expo skills for upgrades</t>
  </si>
  <si>
    <t xml:space="preserve">Privacy concerns about sending tasks to an AI provider</t>
  </si>
  <si>
    <t xml:space="preserve">Clear disclosure, consent, deletion controls, on-device option (US-067)</t>
  </si>
  <si>
    <t xml:space="preserve">Widget/native feature availability differs by platform</t>
  </si>
  <si>
    <t xml:space="preserve">Document per-platform support; ship iOS first</t>
  </si>
  <si>
    <t xml:space="preserve">Idea</t>
  </si>
  <si>
    <t xml:space="preserve">Nice-to-have</t>
  </si>
  <si>
    <t xml:space="preserve">Natural-language search ('what did I plan for the dentist?')</t>
  </si>
  <si>
    <t xml:space="preserve">Habit streaks and gentle gamification</t>
  </si>
  <si>
    <t xml:space="preserve">Scalability</t>
  </si>
  <si>
    <t xml:space="preserve">CRDT-based sync for Spaces; move heavy jobs to queues</t>
  </si>
  <si>
    <t xml:space="preserve">Local embeddings for semantic search</t>
  </si>
  <si>
    <t xml:space="preserve">E2E encryption option for private lists</t>
  </si>
  <si>
    <t xml:space="preserve">AI</t>
  </si>
  <si>
    <t xml:space="preserve">Proactive agent that drafts next-day plan overnight</t>
  </si>
  <si>
    <t xml:space="preserve">Per-user learned estimation (actual vs estimated time)</t>
  </si>
  <si>
    <t xml:space="preserve">Mobile</t>
  </si>
  <si>
    <t xml:space="preserve">Apple Watch / Wear OS quick capture</t>
  </si>
  <si>
    <t xml:space="preserve">Share-sheet extension to create tasks from any app</t>
  </si>
  <si>
    <t xml:space="preserve">Lock-screen and Live Activity for current task</t>
  </si>
  <si>
    <t xml:space="preserve">Integrations</t>
  </si>
  <si>
    <t xml:space="preserve">Email-to-task, Google/Outlook calendar sync, Slack</t>
  </si>
  <si>
    <t xml:space="preserve">Platform</t>
  </si>
  <si>
    <t xml:space="preserve">Public API and automations for Spaces</t>
  </si>
  <si>
    <t xml:space="preserve">Level</t>
  </si>
  <si>
    <t xml:space="preserve">ID</t>
  </si>
  <si>
    <t xml:space="preserve">Parent ID</t>
  </si>
  <si>
    <t xml:space="preserve">Issue Type</t>
  </si>
  <si>
    <t xml:space="preserve">Labels</t>
  </si>
  <si>
    <t xml:space="preserve">Initiative</t>
  </si>
  <si>
    <t xml:space="preserve">TB-INIT</t>
  </si>
  <si>
    <t xml:space="preserve">Task Buddy v1.0 and Shared Spaces</t>
  </si>
  <si>
    <t xml:space="preserve">task-buddy</t>
  </si>
  <si>
    <t xml:space="preserve">epic-ep-01</t>
  </si>
  <si>
    <t xml:space="preserve">epic-ep-02</t>
  </si>
  <si>
    <t xml:space="preserve">Wave 1-4</t>
  </si>
  <si>
    <t xml:space="preserve">epic-ep-03</t>
  </si>
  <si>
    <t xml:space="preserve">epic-ep-04</t>
  </si>
  <si>
    <t xml:space="preserve">epic-ep-05</t>
  </si>
  <si>
    <t xml:space="preserve">epic-ep-06</t>
  </si>
  <si>
    <t xml:space="preserve">Wave 3-4</t>
  </si>
  <si>
    <t xml:space="preserve">epic-ep-07</t>
  </si>
  <si>
    <t xml:space="preserve">epic-ep-08</t>
  </si>
  <si>
    <t xml:space="preserve">Wave 4-5</t>
  </si>
  <si>
    <t xml:space="preserve">epic-ep-09</t>
  </si>
  <si>
    <t xml:space="preserve">epic-ep-10</t>
  </si>
  <si>
    <t xml:space="preserve">epic-ep-11</t>
  </si>
  <si>
    <t xml:space="preserve">epic-ep-12</t>
  </si>
  <si>
    <t xml:space="preserve">Wave 3-6</t>
  </si>
  <si>
    <t xml:space="preserve">epic-ep-13</t>
  </si>
  <si>
    <t xml:space="preserve">Wave 3-5</t>
  </si>
  <si>
    <t xml:space="preserve">epic-ep-14</t>
  </si>
  <si>
    <t xml:space="preserve">Feature (label)</t>
  </si>
  <si>
    <t xml:space="preserve">feature-ft-01</t>
  </si>
  <si>
    <t xml:space="preserve">feature-ft-02</t>
  </si>
  <si>
    <t xml:space="preserve">feature-ft-03</t>
  </si>
  <si>
    <t xml:space="preserve">feature-ft-06</t>
  </si>
  <si>
    <t xml:space="preserve">feature-ft-04</t>
  </si>
  <si>
    <t xml:space="preserve">feature-ft-05</t>
  </si>
  <si>
    <t xml:space="preserve">feature-ft-49</t>
  </si>
  <si>
    <t xml:space="preserve">feature-ft-07</t>
  </si>
  <si>
    <t xml:space="preserve">feature-ft-08</t>
  </si>
  <si>
    <t xml:space="preserve">feature-ft-09</t>
  </si>
  <si>
    <t xml:space="preserve">feature-ft-10</t>
  </si>
  <si>
    <t xml:space="preserve">feature-ft-11</t>
  </si>
  <si>
    <t xml:space="preserve">feature-ft-12</t>
  </si>
  <si>
    <t xml:space="preserve">feature-ft-13</t>
  </si>
  <si>
    <t xml:space="preserve">feature-ft-14</t>
  </si>
  <si>
    <t xml:space="preserve">feature-ft-42</t>
  </si>
  <si>
    <t xml:space="preserve">feature-ft-15</t>
  </si>
  <si>
    <t xml:space="preserve">feature-ft-16</t>
  </si>
  <si>
    <t xml:space="preserve">feature-ft-17</t>
  </si>
  <si>
    <t xml:space="preserve">feature-ft-18</t>
  </si>
  <si>
    <t xml:space="preserve">feature-ft-19</t>
  </si>
  <si>
    <t xml:space="preserve">feature-ft-20</t>
  </si>
  <si>
    <t xml:space="preserve">feature-ft-21</t>
  </si>
  <si>
    <t xml:space="preserve">feature-ft-22</t>
  </si>
  <si>
    <t xml:space="preserve">feature-ft-23</t>
  </si>
  <si>
    <t xml:space="preserve">feature-ft-24</t>
  </si>
  <si>
    <t xml:space="preserve">feature-ft-25</t>
  </si>
  <si>
    <t xml:space="preserve">feature-ft-26</t>
  </si>
  <si>
    <t xml:space="preserve">feature-ft-27</t>
  </si>
  <si>
    <t xml:space="preserve">feature-ft-28</t>
  </si>
  <si>
    <t xml:space="preserve">feature-ft-29</t>
  </si>
  <si>
    <t xml:space="preserve">feature-ft-30</t>
  </si>
  <si>
    <t xml:space="preserve">feature-ft-31</t>
  </si>
  <si>
    <t xml:space="preserve">feature-ft-32</t>
  </si>
  <si>
    <t xml:space="preserve">feature-ft-33</t>
  </si>
  <si>
    <t xml:space="preserve">feature-ft-34</t>
  </si>
  <si>
    <t xml:space="preserve">feature-ft-35</t>
  </si>
  <si>
    <t xml:space="preserve">feature-ft-36</t>
  </si>
  <si>
    <t xml:space="preserve">feature-ft-37</t>
  </si>
  <si>
    <t xml:space="preserve">feature-ft-38</t>
  </si>
  <si>
    <t xml:space="preserve">feature-ft-39</t>
  </si>
  <si>
    <t xml:space="preserve">feature-ft-40</t>
  </si>
  <si>
    <t xml:space="preserve">feature-ft-41</t>
  </si>
  <si>
    <t xml:space="preserve">feature-ft-43</t>
  </si>
  <si>
    <t xml:space="preserve">feature-ft-44</t>
  </si>
  <si>
    <t xml:space="preserve">feature-ft-45</t>
  </si>
  <si>
    <t xml:space="preserve">feature-ft-46</t>
  </si>
  <si>
    <t xml:space="preserve">feature-ft-47</t>
  </si>
  <si>
    <t xml:space="preserve">feature-ft-48</t>
  </si>
  <si>
    <t xml:space="preserve">ft-01 mvp</t>
  </si>
  <si>
    <t xml:space="preserve">ft-02 mvp</t>
  </si>
  <si>
    <t xml:space="preserve">ft-03 mvp</t>
  </si>
  <si>
    <t xml:space="preserve">ft-06 mvp</t>
  </si>
  <si>
    <t xml:space="preserve">ft-04 mvp</t>
  </si>
  <si>
    <t xml:space="preserve">ft-07 mvp</t>
  </si>
  <si>
    <t xml:space="preserve">ft-12 mvp</t>
  </si>
  <si>
    <t xml:space="preserve">ft-13 mvp</t>
  </si>
  <si>
    <t xml:space="preserve">ft-14 mvp</t>
  </si>
  <si>
    <t xml:space="preserve">ft-08 mvp</t>
  </si>
  <si>
    <t xml:space="preserve">ft-15 mvp</t>
  </si>
  <si>
    <t xml:space="preserve">ft-17 mvp</t>
  </si>
  <si>
    <t xml:space="preserve">ft-49 phase-2</t>
  </si>
  <si>
    <t xml:space="preserve">ft-18 phase-2</t>
  </si>
  <si>
    <t xml:space="preserve">ft-19 phase-2</t>
  </si>
  <si>
    <t xml:space="preserve">ft-20 phase-2</t>
  </si>
  <si>
    <t xml:space="preserve">ft-16 phase-2</t>
  </si>
  <si>
    <t xml:space="preserve">ft-43 phase-2</t>
  </si>
  <si>
    <t xml:space="preserve">ft-39 phase-2</t>
  </si>
  <si>
    <t xml:space="preserve">ft-45 phase-2</t>
  </si>
  <si>
    <t xml:space="preserve">ft-21 phase-2</t>
  </si>
  <si>
    <t xml:space="preserve">ft-11 phase-2</t>
  </si>
  <si>
    <t xml:space="preserve">ft-09 phase-2</t>
  </si>
  <si>
    <t xml:space="preserve">ft-10 phase-2</t>
  </si>
  <si>
    <t xml:space="preserve">ft-22 phase-2</t>
  </si>
  <si>
    <t xml:space="preserve">ft-23 phase-2</t>
  </si>
  <si>
    <t xml:space="preserve">ft-24 phase-2</t>
  </si>
  <si>
    <t xml:space="preserve">ft-05 phase-2</t>
  </si>
  <si>
    <t xml:space="preserve">ft-38 phase-2</t>
  </si>
  <si>
    <t xml:space="preserve">ft-44 phase-2</t>
  </si>
  <si>
    <t xml:space="preserve">ft-37 phase-2</t>
  </si>
  <si>
    <t xml:space="preserve">ft-25 phase-2</t>
  </si>
  <si>
    <t xml:space="preserve">ft-26 phase-2</t>
  </si>
  <si>
    <t xml:space="preserve">ft-27 phase-2</t>
  </si>
  <si>
    <t xml:space="preserve">ft-28 phase-2</t>
  </si>
  <si>
    <t xml:space="preserve">ft-29 phase-2</t>
  </si>
  <si>
    <t xml:space="preserve">ft-30 phase-2</t>
  </si>
  <si>
    <t xml:space="preserve">ft-31 phase-2</t>
  </si>
  <si>
    <t xml:space="preserve">ft-46 phase-2</t>
  </si>
  <si>
    <t xml:space="preserve">ft-48 phase-2</t>
  </si>
  <si>
    <t xml:space="preserve">ft-47 phase-2</t>
  </si>
  <si>
    <t xml:space="preserve">ft-09 phase-3</t>
  </si>
  <si>
    <t xml:space="preserve">ft-32 phase-3</t>
  </si>
  <si>
    <t xml:space="preserve">ft-35 phase-3</t>
  </si>
  <si>
    <t xml:space="preserve">ft-33 phase-3</t>
  </si>
  <si>
    <t xml:space="preserve">ft-34 phase-3</t>
  </si>
  <si>
    <t xml:space="preserve">ft-36 phase-3</t>
  </si>
  <si>
    <t xml:space="preserve">ft-40 phase-3</t>
  </si>
  <si>
    <t xml:space="preserve">ft-41 phase-3</t>
  </si>
  <si>
    <t xml:space="preserve">ft-42 phase-3</t>
  </si>
  <si>
    <t xml:space="preserve">infra</t>
  </si>
  <si>
    <t xml:space="preserve">db</t>
  </si>
  <si>
    <t xml:space="preserve">api</t>
  </si>
  <si>
    <t xml:space="preserve">fe</t>
  </si>
  <si>
    <t xml:space="preserve">be</t>
  </si>
  <si>
    <t xml:space="preserve">security</t>
  </si>
  <si>
    <t xml:space="preserve">devops</t>
  </si>
  <si>
    <t xml:space="preserve">monitoring</t>
  </si>
  <si>
    <t xml:space="preserve">Practice</t>
  </si>
  <si>
    <t xml:space="preserve">Definition of Ready</t>
  </si>
  <si>
    <t xml:space="preserve">AC written and testable; prerequisites done; sized at 8 points or less (split if larger); API contract or screen linked; security/privacy/AI-cost implications noted.</t>
  </si>
  <si>
    <t xml:space="preserve">Definition of Done</t>
  </si>
  <si>
    <t xml:space="preserve">AC met and demoed; reviewed PR merged with CI green; unit + integration pass (E2E on critical paths); RLS/security tests pass where relevant; AI eval baseline not regressed; no new Sentry errors; docs/tickets note updated; migrations reversible.</t>
  </si>
  <si>
    <t xml:space="preserve">Cadence (solo)</t>
  </si>
  <si>
    <t xml:space="preserve">Monday: sprint planning (30 pts). Daily: 10-minute self standup. Friday: demo on device + retro + backlog refinement for next sprint.</t>
  </si>
  <si>
    <t xml:space="preserve">AI-assisted development</t>
  </si>
  <si>
    <t xml:space="preserve">Use coding agents per story: spec from the ticket AC &gt; plan &gt; implement in a branch &gt; run tests &gt; self-review diff &gt; PR. Always attach the ticket doc in docs/tickets/TB-###.md.</t>
  </si>
  <si>
    <t xml:space="preserve">Agent model routing</t>
  </si>
  <si>
    <t xml:space="preserve">Simple questions and lookups: Sonnet-class. Feature development: Opus-class. Hard or critical work (sync conflict rules, RLS policies, agent scope enforcement, gateway security): top-tier model with a second review pass.</t>
  </si>
  <si>
    <t xml:space="preserve">AI-assisted testing</t>
  </si>
  <si>
    <t xml:space="preserve">Agents draft unit tests and Maestro flows from AC; human reviews. AI evals (golden sets) gate prompt and model changes in CI.</t>
  </si>
  <si>
    <t xml:space="preserve">AI-assisted docs and review</t>
  </si>
  <si>
    <t xml:space="preserve">Agents update docs/tickets notes and propose PR summaries; run a code-review pass for security, performance and correctness before human review.</t>
  </si>
  <si>
    <t xml:space="preserve">Reuse-first</t>
  </si>
  <si>
    <t xml:space="preserve">Before creating a component, hook or utility, check for an existing shared one or pattern; standardize repeated solutions instead of duplicating.</t>
  </si>
  <si>
    <t xml:space="preserve">Documentation discipline</t>
  </si>
  <si>
    <t xml:space="preserve">CLAUDE.md is updated only when an epic completes or a decision becomes stable and reusable; per-ticket detail lives in docs/tickets/TB-###.md.</t>
  </si>
  <si>
    <t xml:space="preserve">Estimation</t>
  </si>
  <si>
    <t xml:space="preserve">Fibonacci points; recalibrate velocity after Sprint 2 and re-run the sprint plan.</t>
  </si>
  <si>
    <t xml:space="preserve">Topic</t>
  </si>
  <si>
    <t xml:space="preserve">Gap / assumption</t>
  </si>
  <si>
    <t xml:space="preserve">Recommendation</t>
  </si>
  <si>
    <t xml:space="preserve">Team size and velocity</t>
  </si>
  <si>
    <t xml:space="preserve">Assumed solo developer with AI coding agents, 1-week sprints, 30 points per sprint</t>
  </si>
  <si>
    <t xml:space="preserve">Sprint dates and MVP-in-2-weeks hinge on this</t>
  </si>
  <si>
    <t xml:space="preserve">Confirm; re-run scheduling if velocity differs</t>
  </si>
  <si>
    <t xml:space="preserve">Assumption</t>
  </si>
  <si>
    <t xml:space="preserve">Sprint 1 start date</t>
  </si>
  <si>
    <t xml:space="preserve">Assumed Monday 2026-11-02</t>
  </si>
  <si>
    <t xml:space="preserve">All sprint dates shift</t>
  </si>
  <si>
    <t xml:space="preserve">Confirm real start date</t>
  </si>
  <si>
    <t xml:space="preserve">Target platforms</t>
  </si>
  <si>
    <t xml:space="preserve">iOS and Android both in v1.0</t>
  </si>
  <si>
    <t xml:space="preserve">Store work doubles; widgets differ by OS</t>
  </si>
  <si>
    <t xml:space="preserve">Confirm; if iOS-first, move Android items out of Wave 5</t>
  </si>
  <si>
    <t xml:space="preserve">AI provider and data policy</t>
  </si>
  <si>
    <t xml:space="preserve">Claude via gateway; text, audio transcripts and images may be sent to the provider</t>
  </si>
  <si>
    <t xml:space="preserve">Drives privacy policy and consent copy</t>
  </si>
  <si>
    <t xml:space="preserve">Review provider data-retention terms before beta</t>
  </si>
  <si>
    <t xml:space="preserve">Open</t>
  </si>
  <si>
    <t xml:space="preserve">Pricing and quotas</t>
  </si>
  <si>
    <t xml:space="preserve">Free limits (30 AI calls/hour, daily token cap) and Pro tier price are placeholders</t>
  </si>
  <si>
    <t xml:space="preserve">Affects cost model and billing story</t>
  </si>
  <si>
    <t xml:space="preserve">Decide after 4 weeks of ledger data</t>
  </si>
  <si>
    <t xml:space="preserve">Taglish and Filipino support</t>
  </si>
  <si>
    <t xml:space="preserve">Parser and chat expected to handle Taglish; speech recognition locale support unverified per device</t>
  </si>
  <si>
    <t xml:space="preserve">Voice accuracy risk</t>
  </si>
  <si>
    <t xml:space="preserve">Test fil-PH on target devices in Sprint 6</t>
  </si>
  <si>
    <t xml:space="preserve">Expo SDK version</t>
  </si>
  <si>
    <t xml:space="preserve">SDK 56 verified stable (May 2026); SDK 57 listed Jun 2026 on expo.dev/sdk</t>
  </si>
  <si>
    <t xml:space="preserve">Library compatibility</t>
  </si>
  <si>
    <t xml:space="preserve">Use the latest stable SDK at scaffold time and record it in CLAUDE.md</t>
  </si>
  <si>
    <t xml:space="preserve">expo-speech-recognition maintenance</t>
  </si>
  <si>
    <t xml:space="preserve">Community library; compatibility table last dated July 2025</t>
  </si>
  <si>
    <t xml:space="preserve">Voice story could slip</t>
  </si>
  <si>
    <t xml:space="preserve">Check release status in Sprint 5 before building; fallback is cloud STT</t>
  </si>
  <si>
    <t xml:space="preserve">Android widgets</t>
  </si>
  <si>
    <t xml:space="preserve">Expo Widgets stability confirmed for iOS only</t>
  </si>
  <si>
    <t xml:space="preserve">Widget story scope</t>
  </si>
  <si>
    <t xml:space="preserve">Ship iOS widget first; decide Android approach in Phase 3</t>
  </si>
  <si>
    <t xml:space="preserve">NFR targets</t>
  </si>
  <si>
    <t xml:space="preserve">Targets assumed: crash-free 99.5%, cold start &lt;2.5s, AI p95 &lt;6s, RTO 4h, RPO 15 min</t>
  </si>
  <si>
    <t xml:space="preserve">Test and monitoring thresholds</t>
  </si>
  <si>
    <t xml:space="preserve">Confirm or adjust</t>
  </si>
  <si>
    <t xml:space="preserve">Data retention</t>
  </si>
  <si>
    <t xml:space="preserve">Soft-deleted rows purge after 30 days; agent logs 90 days; raw media 24 hours</t>
  </si>
  <si>
    <t xml:space="preserve">Compliance and storage</t>
  </si>
  <si>
    <t xml:space="preserve">Confirm with privacy policy</t>
  </si>
  <si>
    <t xml:space="preserve">Age and consent</t>
  </si>
  <si>
    <t xml:space="preserve">Adult users assumed; no child-directed features</t>
  </si>
  <si>
    <t xml:space="preserve">Store age rating and privacy rules</t>
  </si>
  <si>
    <t xml:space="preserve">Confirm audience</t>
  </si>
  <si>
    <t xml:space="preserve">Spaces business model</t>
  </si>
  <si>
    <t xml:space="preserve">Spaces assumed Pro-only at launch</t>
  </si>
  <si>
    <t xml:space="preserve">Billing dependency order</t>
  </si>
  <si>
    <t xml:space="preserve">Confirm before Sprint 8</t>
  </si>
  <si>
    <t xml:space="preserve">Jira import behavior</t>
  </si>
  <si>
    <t xml:space="preserve">Field mapping for Sprint, Labels and issue links depends on Jira project type</t>
  </si>
  <si>
    <t xml:space="preserve">Import may need manual mapping</t>
  </si>
  <si>
    <t xml:space="preserve">Test with 3 rows first (see import guide)</t>
  </si>
  <si>
    <t xml:space="preserve">Holiday period</t>
  </si>
  <si>
    <t xml:space="preserve">Sprints 8-9 fall on 2026-12-21 to 2027-01-01, overlapping Christmas and New Year</t>
  </si>
  <si>
    <t xml:space="preserve">Spaces work may slip</t>
  </si>
  <si>
    <t xml:space="preserve">Plan lighter capacity or shift Phase 3 start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</si>
</sst>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5FA"/>
        <bgColor rgb="FFEDEDED"/>
      </patternFill>
    </fill>
    <fill>
      <patternFill patternType="solid">
        <fgColor rgb="FFF8CBAD"/>
        <bgColor rgb="FFFFE699"/>
      </patternFill>
    </fill>
    <fill>
      <patternFill patternType="solid">
        <fgColor rgb="FFE7E6E6"/>
        <bgColor rgb="FFEDEDED"/>
      </patternFill>
    </fill>
    <fill>
      <patternFill patternType="solid">
        <fgColor rgb="FFFFE699"/>
        <bgColor rgb="FFFFF2CC"/>
      </patternFill>
    </fill>
    <fill>
      <patternFill patternType="solid">
        <fgColor rgb="FFDDEBF7"/>
        <bgColor rgb="FFE7E6E6"/>
      </patternFill>
    </fill>
    <fill>
      <patternFill patternType="solid">
        <fgColor rgb="FFEDEDED"/>
        <bgColor rgb="FFE7E6E6"/>
      </patternFill>
    </fill>
    <fill>
      <patternFill patternType="solid">
        <fgColor rgb="FFC6EFCE"/>
        <bgColor rgb="FFDDEBF7"/>
      </patternFill>
    </fill>
    <fill>
      <patternFill patternType="solid">
        <fgColor rgb="FFFFF2C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5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E7E6E6"/>
      <rgbColor rgb="FF7F7F7F"/>
      <rgbColor rgb="FF9999FF"/>
      <rgbColor rgb="FF7030A0"/>
      <rgbColor rgb="FFFFF2CC"/>
      <rgbColor rgb="FFDDEBF7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5FA"/>
      <rgbColor rgb="FFC6EFCE"/>
      <rgbColor rgb="FFFFE699"/>
      <rgbColor rgb="FFEDEDED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10"/>
  </cols>
  <sheetData>
    <row r="1" customFormat="false" ht="32.8" hidden="false" customHeight="false" outlineLevel="0" collapsed="false">
      <c r="A1" s="1" t="s">
        <v>0</v>
      </c>
      <c r="B1" s="2"/>
    </row>
    <row r="2" customFormat="false" ht="35.0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3"/>
      <c r="B3" s="2"/>
    </row>
    <row r="4" customFormat="false" ht="15" hidden="false" customHeight="false" outlineLevel="0" collapsed="false">
      <c r="A4" s="4" t="s">
        <v>2</v>
      </c>
      <c r="B4" s="2"/>
    </row>
    <row r="5" customFormat="false" ht="15" hidden="false" customHeight="false" outlineLevel="0" collapsed="false">
      <c r="A5" s="3" t="s">
        <v>3</v>
      </c>
      <c r="B5" s="3" t="n">
        <f aca="false">COUNTA('Product Backlog'!A2:A68)</f>
        <v>67</v>
      </c>
    </row>
    <row r="6" customFormat="false" ht="15" hidden="false" customHeight="false" outlineLevel="0" collapsed="false">
      <c r="A6" s="3" t="s">
        <v>4</v>
      </c>
      <c r="B6" s="3" t="n">
        <f aca="false">SUM('Product Backlog'!H2:H68)</f>
        <v>279</v>
      </c>
    </row>
    <row r="7" customFormat="false" ht="15" hidden="false" customHeight="false" outlineLevel="0" collapsed="false">
      <c r="A7" s="3" t="s">
        <v>5</v>
      </c>
      <c r="B7" s="3" t="n">
        <f aca="false">SUMIFS('Product Backlog'!H2:H68,'Product Backlog'!L2:L68,"MVP")</f>
        <v>58</v>
      </c>
    </row>
    <row r="8" customFormat="false" ht="15" hidden="false" customHeight="false" outlineLevel="0" collapsed="false">
      <c r="A8" s="3" t="s">
        <v>6</v>
      </c>
      <c r="B8" s="3" t="n">
        <f aca="false">MAX('Product Backlog'!K2:K68)</f>
        <v>10</v>
      </c>
    </row>
    <row r="9" customFormat="false" ht="15" hidden="false" customHeight="false" outlineLevel="0" collapsed="false">
      <c r="A9" s="3" t="s">
        <v>7</v>
      </c>
      <c r="B9" s="5" t="n">
        <v>30</v>
      </c>
    </row>
    <row r="10" customFormat="false" ht="15" hidden="false" customHeight="false" outlineLevel="0" collapsed="false">
      <c r="A10" s="3" t="s">
        <v>8</v>
      </c>
      <c r="B10" s="6" t="n">
        <v>46328</v>
      </c>
    </row>
    <row r="11" customFormat="false" ht="15" hidden="false" customHeight="false" outlineLevel="0" collapsed="false">
      <c r="A11" s="2"/>
      <c r="B11" s="2"/>
    </row>
    <row r="12" customFormat="false" ht="15" hidden="false" customHeight="false" outlineLevel="0" collapsed="false">
      <c r="A12" s="4" t="s">
        <v>9</v>
      </c>
      <c r="B12" s="2"/>
    </row>
    <row r="13" customFormat="false" ht="15" hidden="false" customHeight="false" outlineLevel="0" collapsed="false">
      <c r="A13" s="7" t="s">
        <v>10</v>
      </c>
      <c r="B13" s="3" t="s">
        <v>11</v>
      </c>
    </row>
    <row r="14" customFormat="false" ht="15" hidden="false" customHeight="false" outlineLevel="0" collapsed="false">
      <c r="A14" s="7" t="s">
        <v>12</v>
      </c>
      <c r="B14" s="3" t="s">
        <v>13</v>
      </c>
    </row>
    <row r="15" customFormat="false" ht="15" hidden="false" customHeight="false" outlineLevel="0" collapsed="false">
      <c r="A15" s="7" t="s">
        <v>14</v>
      </c>
      <c r="B15" s="3" t="s">
        <v>15</v>
      </c>
    </row>
    <row r="16" customFormat="false" ht="15" hidden="false" customHeight="false" outlineLevel="0" collapsed="false">
      <c r="A16" s="7" t="s">
        <v>16</v>
      </c>
      <c r="B16" s="3" t="s">
        <v>17</v>
      </c>
    </row>
    <row r="17" customFormat="false" ht="15" hidden="false" customHeight="false" outlineLevel="0" collapsed="false">
      <c r="A17" s="7" t="s">
        <v>18</v>
      </c>
      <c r="B17" s="3" t="s">
        <v>19</v>
      </c>
    </row>
    <row r="18" customFormat="false" ht="15" hidden="false" customHeight="false" outlineLevel="0" collapsed="false">
      <c r="A18" s="7" t="s">
        <v>20</v>
      </c>
      <c r="B18" s="3" t="s">
        <v>21</v>
      </c>
    </row>
    <row r="19" customFormat="false" ht="15" hidden="false" customHeight="false" outlineLevel="0" collapsed="false">
      <c r="A19" s="7" t="s">
        <v>22</v>
      </c>
      <c r="B19" s="3" t="s">
        <v>23</v>
      </c>
    </row>
    <row r="20" customFormat="false" ht="15" hidden="false" customHeight="false" outlineLevel="0" collapsed="false">
      <c r="A20" s="2"/>
      <c r="B20" s="2"/>
    </row>
    <row r="21" customFormat="false" ht="15" hidden="false" customHeight="false" outlineLevel="0" collapsed="false">
      <c r="A21" s="4" t="s">
        <v>16</v>
      </c>
      <c r="B21" s="2"/>
    </row>
    <row r="22" customFormat="false" ht="15" hidden="false" customHeight="false" outlineLevel="0" collapsed="false">
      <c r="A22" s="7" t="s">
        <v>24</v>
      </c>
      <c r="B22" s="3" t="s">
        <v>25</v>
      </c>
    </row>
    <row r="23" customFormat="false" ht="15" hidden="false" customHeight="false" outlineLevel="0" collapsed="false">
      <c r="A23" s="7" t="s">
        <v>26</v>
      </c>
      <c r="B23" s="3" t="s">
        <v>27</v>
      </c>
    </row>
    <row r="24" customFormat="false" ht="15" hidden="false" customHeight="false" outlineLevel="0" collapsed="false">
      <c r="A24" s="7" t="s">
        <v>28</v>
      </c>
      <c r="B24" s="3" t="s">
        <v>29</v>
      </c>
    </row>
    <row r="25" customFormat="false" ht="15" hidden="false" customHeight="false" outlineLevel="0" collapsed="false">
      <c r="A25" s="7" t="s">
        <v>30</v>
      </c>
      <c r="B25" s="3" t="s">
        <v>31</v>
      </c>
    </row>
    <row r="26" customFormat="false" ht="15" hidden="false" customHeight="false" outlineLevel="0" collapsed="false">
      <c r="A26" s="7" t="s">
        <v>32</v>
      </c>
      <c r="B26" s="3" t="s">
        <v>33</v>
      </c>
    </row>
    <row r="27" customFormat="false" ht="15" hidden="false" customHeight="false" outlineLevel="0" collapsed="false">
      <c r="A27" s="7" t="s">
        <v>34</v>
      </c>
      <c r="B27" s="3" t="s">
        <v>35</v>
      </c>
    </row>
    <row r="28" customFormat="false" ht="15" hidden="false" customHeight="false" outlineLevel="0" collapsed="false">
      <c r="A28" s="2"/>
      <c r="B28" s="2"/>
    </row>
    <row r="29" customFormat="false" ht="15" hidden="false" customHeight="false" outlineLevel="0" collapsed="false">
      <c r="A29" s="4" t="s">
        <v>36</v>
      </c>
      <c r="B29" s="2"/>
    </row>
    <row r="30" customFormat="false" ht="15" hidden="false" customHeight="false" outlineLevel="0" collapsed="false">
      <c r="A30" s="7" t="s">
        <v>37</v>
      </c>
      <c r="B30" s="3" t="s">
        <v>38</v>
      </c>
    </row>
    <row r="31" customFormat="false" ht="15" hidden="false" customHeight="false" outlineLevel="0" collapsed="false">
      <c r="A31" s="7" t="s">
        <v>39</v>
      </c>
      <c r="B31" s="3" t="s">
        <v>40</v>
      </c>
    </row>
    <row r="32" customFormat="false" ht="15" hidden="false" customHeight="false" outlineLevel="0" collapsed="false">
      <c r="A32" s="7" t="s">
        <v>41</v>
      </c>
      <c r="B32" s="3" t="s">
        <v>42</v>
      </c>
    </row>
    <row r="33" customFormat="false" ht="15" hidden="false" customHeight="false" outlineLevel="0" collapsed="false">
      <c r="A33" s="7" t="s">
        <v>43</v>
      </c>
      <c r="B33" s="3" t="s">
        <v>44</v>
      </c>
    </row>
    <row r="34" customFormat="false" ht="15" hidden="false" customHeight="false" outlineLevel="0" collapsed="false">
      <c r="A34" s="7" t="s">
        <v>45</v>
      </c>
      <c r="B34" s="3" t="s">
        <v>46</v>
      </c>
    </row>
    <row r="35" customFormat="false" ht="15" hidden="false" customHeight="false" outlineLevel="0" collapsed="false">
      <c r="A35" s="2"/>
      <c r="B35" s="2"/>
    </row>
    <row r="36" customFormat="false" ht="15" hidden="false" customHeight="false" outlineLevel="0" collapsed="false">
      <c r="A36" s="4" t="s">
        <v>47</v>
      </c>
      <c r="B36" s="2"/>
    </row>
    <row r="37" customFormat="false" ht="15" hidden="false" customHeight="false" outlineLevel="0" collapsed="false">
      <c r="A37" s="3" t="s">
        <v>48</v>
      </c>
      <c r="B37" s="2"/>
    </row>
    <row r="38" customFormat="false" ht="15" hidden="false" customHeight="false" outlineLevel="0" collapsed="false">
      <c r="A38" s="3" t="s">
        <v>49</v>
      </c>
      <c r="B38" s="2"/>
    </row>
    <row r="39" customFormat="false" ht="15" hidden="false" customHeight="false" outlineLevel="0" collapsed="false">
      <c r="A39" s="3" t="s">
        <v>50</v>
      </c>
      <c r="B39" s="2"/>
    </row>
    <row r="40" customFormat="false" ht="15" hidden="false" customHeight="false" outlineLevel="0" collapsed="false">
      <c r="A40" s="3" t="s">
        <v>51</v>
      </c>
      <c r="B40" s="2"/>
    </row>
    <row r="41" customFormat="false" ht="15" hidden="false" customHeight="false" outlineLevel="0" collapsed="false">
      <c r="A41" s="3" t="s">
        <v>52</v>
      </c>
      <c r="B41" s="2"/>
    </row>
    <row r="42" customFormat="false" ht="15" hidden="false" customHeight="false" outlineLevel="0" collapsed="false">
      <c r="A42" s="3" t="s">
        <v>53</v>
      </c>
      <c r="B42" s="2"/>
    </row>
    <row r="43" customFormat="false" ht="15" hidden="false" customHeight="false" outlineLevel="0" collapsed="false">
      <c r="A43" s="3" t="s">
        <v>54</v>
      </c>
      <c r="B43" s="2"/>
    </row>
    <row r="44" customFormat="false" ht="15" hidden="false" customHeight="false" outlineLevel="0" collapsed="false">
      <c r="A44" s="3" t="s">
        <v>55</v>
      </c>
      <c r="B44" s="2"/>
    </row>
    <row r="45" customFormat="false" ht="15" hidden="false" customHeight="false" outlineLevel="0" collapsed="false">
      <c r="A45" s="3" t="s">
        <v>56</v>
      </c>
      <c r="B45" s="2"/>
    </row>
    <row r="46" customFormat="false" ht="15" hidden="false" customHeight="false" outlineLevel="0" collapsed="false">
      <c r="A46" s="3" t="s">
        <v>57</v>
      </c>
      <c r="B46" s="2"/>
    </row>
    <row r="47" customFormat="false" ht="15" hidden="false" customHeight="false" outlineLevel="0" collapsed="false">
      <c r="A47" s="3" t="s">
        <v>58</v>
      </c>
      <c r="B47" s="2"/>
    </row>
    <row r="48" customFormat="false" ht="15" hidden="false" customHeight="false" outlineLevel="0" collapsed="false">
      <c r="A48" s="3" t="s">
        <v>59</v>
      </c>
      <c r="B48" s="2"/>
    </row>
    <row r="49" customFormat="false" ht="15" hidden="false" customHeight="false" outlineLevel="0" collapsed="false">
      <c r="A49" s="3" t="s">
        <v>60</v>
      </c>
      <c r="B49" s="2"/>
    </row>
    <row r="50" customFormat="false" ht="15" hidden="false" customHeight="false" outlineLevel="0" collapsed="false">
      <c r="A50" s="3" t="s">
        <v>61</v>
      </c>
      <c r="B50" s="2"/>
    </row>
    <row r="51" customFormat="false" ht="15" hidden="false" customHeight="false" outlineLevel="0" collapsed="false">
      <c r="A51" s="3" t="s">
        <v>62</v>
      </c>
      <c r="B51" s="2"/>
    </row>
    <row r="52" customFormat="false" ht="15" hidden="false" customHeight="false" outlineLevel="0" collapsed="false">
      <c r="A52" s="3" t="s">
        <v>63</v>
      </c>
      <c r="B52" s="2"/>
    </row>
    <row r="53" customFormat="false" ht="15" hidden="false" customHeight="false" outlineLevel="0" collapsed="false">
      <c r="A53" s="3" t="s">
        <v>64</v>
      </c>
      <c r="B5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0"/>
  </cols>
  <sheetData>
    <row r="1" customFormat="false" ht="30" hidden="false" customHeight="true" outlineLevel="0" collapsed="false">
      <c r="A1" s="8" t="s">
        <v>65</v>
      </c>
      <c r="B1" s="8" t="s">
        <v>66</v>
      </c>
    </row>
    <row r="2" customFormat="false" ht="15" hidden="false" customHeight="false" outlineLevel="0" collapsed="false">
      <c r="A2" s="9" t="s">
        <v>67</v>
      </c>
      <c r="B2" s="9" t="s">
        <v>68</v>
      </c>
    </row>
    <row r="3" customFormat="false" ht="41.75" hidden="false" customHeight="false" outlineLevel="0" collapsed="false">
      <c r="A3" s="10" t="s">
        <v>69</v>
      </c>
      <c r="B3" s="10" t="s">
        <v>70</v>
      </c>
    </row>
    <row r="4" customFormat="false" ht="41.75" hidden="false" customHeight="false" outlineLevel="0" collapsed="false">
      <c r="A4" s="9" t="s">
        <v>71</v>
      </c>
      <c r="B4" s="9" t="s">
        <v>72</v>
      </c>
    </row>
    <row r="5" customFormat="false" ht="28.35" hidden="false" customHeight="false" outlineLevel="0" collapsed="false">
      <c r="A5" s="10" t="s">
        <v>73</v>
      </c>
      <c r="B5" s="10" t="s">
        <v>74</v>
      </c>
    </row>
    <row r="6" customFormat="false" ht="82.05" hidden="false" customHeight="false" outlineLevel="0" collapsed="false">
      <c r="A6" s="9" t="s">
        <v>75</v>
      </c>
      <c r="B6" s="9" t="s">
        <v>76</v>
      </c>
    </row>
    <row r="7" customFormat="false" ht="28.35" hidden="false" customHeight="false" outlineLevel="0" collapsed="false">
      <c r="A7" s="10" t="s">
        <v>77</v>
      </c>
      <c r="B7" s="10" t="s">
        <v>78</v>
      </c>
    </row>
    <row r="8" customFormat="false" ht="15" hidden="false" customHeight="false" outlineLevel="0" collapsed="false">
      <c r="A8" s="9" t="s">
        <v>79</v>
      </c>
      <c r="B8" s="9" t="s">
        <v>80</v>
      </c>
    </row>
    <row r="9" customFormat="false" ht="15" hidden="false" customHeight="false" outlineLevel="0" collapsed="false">
      <c r="A9" s="10" t="s">
        <v>81</v>
      </c>
      <c r="B9" s="10" t="s">
        <v>82</v>
      </c>
    </row>
    <row r="10" customFormat="false" ht="41.75" hidden="false" customHeight="false" outlineLevel="0" collapsed="false">
      <c r="A10" s="9" t="s">
        <v>83</v>
      </c>
      <c r="B10" s="9" t="s">
        <v>84</v>
      </c>
    </row>
  </sheetData>
  <autoFilter ref="A1:B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2"/>
    <col collapsed="false" customWidth="true" hidden="false" outlineLevel="0" max="5" min="5" style="0" width="30"/>
    <col collapsed="false" customWidth="true" hidden="false" outlineLevel="0" max="6" min="6" style="0" width="70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34"/>
  </cols>
  <sheetData>
    <row r="1" customFormat="false" ht="30" hidden="false" customHeight="true" outlineLevel="0" collapsed="false">
      <c r="A1" s="8" t="s">
        <v>85</v>
      </c>
      <c r="B1" s="8" t="s">
        <v>86</v>
      </c>
      <c r="C1" s="8" t="s">
        <v>87</v>
      </c>
      <c r="D1" s="8" t="s">
        <v>88</v>
      </c>
      <c r="E1" s="8" t="s">
        <v>89</v>
      </c>
      <c r="F1" s="8" t="s">
        <v>90</v>
      </c>
      <c r="G1" s="8" t="s">
        <v>14</v>
      </c>
      <c r="H1" s="8" t="s">
        <v>91</v>
      </c>
      <c r="I1" s="8" t="s">
        <v>92</v>
      </c>
      <c r="J1" s="8" t="s">
        <v>93</v>
      </c>
    </row>
    <row r="2" customFormat="false" ht="28.35" hidden="false" customHeight="false" outlineLevel="0" collapsed="false">
      <c r="A2" s="9" t="s">
        <v>94</v>
      </c>
      <c r="B2" s="9" t="s">
        <v>95</v>
      </c>
      <c r="C2" s="11" t="n">
        <v>46328</v>
      </c>
      <c r="D2" s="11" t="n">
        <v>46339</v>
      </c>
      <c r="E2" s="9" t="s">
        <v>96</v>
      </c>
      <c r="F2" s="9" t="s">
        <v>97</v>
      </c>
      <c r="G2" s="9" t="n">
        <v>60</v>
      </c>
      <c r="H2" s="9" t="s">
        <v>98</v>
      </c>
      <c r="I2" s="9" t="s">
        <v>99</v>
      </c>
      <c r="J2" s="9" t="s">
        <v>100</v>
      </c>
    </row>
    <row r="3" customFormat="false" ht="28.35" hidden="false" customHeight="false" outlineLevel="0" collapsed="false">
      <c r="A3" s="10" t="s">
        <v>101</v>
      </c>
      <c r="B3" s="10" t="s">
        <v>102</v>
      </c>
      <c r="C3" s="12" t="n">
        <v>46342</v>
      </c>
      <c r="D3" s="12" t="n">
        <v>46360</v>
      </c>
      <c r="E3" s="10" t="s">
        <v>103</v>
      </c>
      <c r="F3" s="10" t="s">
        <v>104</v>
      </c>
      <c r="G3" s="10" t="n">
        <v>84</v>
      </c>
      <c r="H3" s="10" t="s">
        <v>98</v>
      </c>
      <c r="I3" s="10" t="s">
        <v>99</v>
      </c>
      <c r="J3" s="10" t="s">
        <v>105</v>
      </c>
    </row>
    <row r="4" customFormat="false" ht="28.35" hidden="false" customHeight="false" outlineLevel="0" collapsed="false">
      <c r="A4" s="9" t="s">
        <v>106</v>
      </c>
      <c r="B4" s="9" t="s">
        <v>107</v>
      </c>
      <c r="C4" s="11" t="n">
        <v>46363</v>
      </c>
      <c r="D4" s="11" t="n">
        <v>46374</v>
      </c>
      <c r="E4" s="9" t="s">
        <v>108</v>
      </c>
      <c r="F4" s="9" t="s">
        <v>109</v>
      </c>
      <c r="G4" s="9" t="n">
        <v>56</v>
      </c>
      <c r="H4" s="9" t="s">
        <v>110</v>
      </c>
      <c r="I4" s="9" t="s">
        <v>99</v>
      </c>
      <c r="J4" s="9" t="s">
        <v>111</v>
      </c>
    </row>
    <row r="5" customFormat="false" ht="28.35" hidden="false" customHeight="false" outlineLevel="0" collapsed="false">
      <c r="A5" s="10" t="s">
        <v>112</v>
      </c>
      <c r="B5" s="10" t="s">
        <v>113</v>
      </c>
      <c r="C5" s="12" t="n">
        <v>46377</v>
      </c>
      <c r="D5" s="12" t="n">
        <v>46395</v>
      </c>
      <c r="E5" s="10" t="s">
        <v>114</v>
      </c>
      <c r="F5" s="10" t="s">
        <v>115</v>
      </c>
      <c r="G5" s="10" t="n">
        <v>79</v>
      </c>
      <c r="H5" s="10" t="s">
        <v>110</v>
      </c>
      <c r="I5" s="10" t="s">
        <v>99</v>
      </c>
      <c r="J5" s="10" t="s">
        <v>116</v>
      </c>
    </row>
  </sheetData>
  <autoFilter ref="A1:J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50"/>
    <col collapsed="false" customWidth="true" hidden="false" outlineLevel="0" max="4" min="4" style="0" width="44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8" min="8" style="0" width="50"/>
    <col collapsed="false" customWidth="true" hidden="false" outlineLevel="0" max="10" min="9" style="0" width="9"/>
    <col collapsed="false" customWidth="true" hidden="false" outlineLevel="0" max="11" min="11" style="0" width="11"/>
  </cols>
  <sheetData>
    <row r="1" customFormat="false" ht="30" hidden="false" customHeight="true" outlineLevel="0" collapsed="false">
      <c r="A1" s="8" t="s">
        <v>117</v>
      </c>
      <c r="B1" s="8" t="s">
        <v>118</v>
      </c>
      <c r="C1" s="8" t="s">
        <v>119</v>
      </c>
      <c r="D1" s="8" t="s">
        <v>120</v>
      </c>
      <c r="E1" s="8" t="s">
        <v>12</v>
      </c>
      <c r="F1" s="8" t="s">
        <v>16</v>
      </c>
      <c r="G1" s="8" t="s">
        <v>92</v>
      </c>
      <c r="H1" s="8" t="s">
        <v>121</v>
      </c>
      <c r="I1" s="8" t="s">
        <v>122</v>
      </c>
      <c r="J1" s="8" t="s">
        <v>14</v>
      </c>
      <c r="K1" s="8" t="s">
        <v>123</v>
      </c>
    </row>
    <row r="2" customFormat="false" ht="28.35" hidden="false" customHeight="false" outlineLevel="0" collapsed="false">
      <c r="A2" s="9" t="s">
        <v>124</v>
      </c>
      <c r="B2" s="9" t="s">
        <v>125</v>
      </c>
      <c r="C2" s="9" t="s">
        <v>126</v>
      </c>
      <c r="D2" s="9" t="s">
        <v>127</v>
      </c>
      <c r="E2" s="13" t="s">
        <v>128</v>
      </c>
      <c r="F2" s="9" t="s">
        <v>129</v>
      </c>
      <c r="G2" s="9" t="s">
        <v>130</v>
      </c>
      <c r="H2" s="9" t="s">
        <v>131</v>
      </c>
      <c r="I2" s="9" t="n">
        <f aca="false">COUNTIF('Product Backlog'!B2:B68,A2)</f>
        <v>4</v>
      </c>
      <c r="J2" s="9" t="n">
        <f aca="false">SUMIFS('Product Backlog'!H2:H68,'Product Backlog'!B2:B68,A2)</f>
        <v>11</v>
      </c>
      <c r="K2" s="14" t="s">
        <v>132</v>
      </c>
    </row>
    <row r="3" customFormat="false" ht="28.35" hidden="false" customHeight="false" outlineLevel="0" collapsed="false">
      <c r="A3" s="10" t="s">
        <v>133</v>
      </c>
      <c r="B3" s="10" t="s">
        <v>134</v>
      </c>
      <c r="C3" s="10" t="s">
        <v>135</v>
      </c>
      <c r="D3" s="10" t="s">
        <v>136</v>
      </c>
      <c r="E3" s="13" t="s">
        <v>128</v>
      </c>
      <c r="F3" s="10" t="s">
        <v>129</v>
      </c>
      <c r="G3" s="10" t="s">
        <v>124</v>
      </c>
      <c r="H3" s="10" t="s">
        <v>137</v>
      </c>
      <c r="I3" s="10" t="n">
        <f aca="false">COUNTIF('Product Backlog'!B2:B68,A3)</f>
        <v>4</v>
      </c>
      <c r="J3" s="10" t="n">
        <f aca="false">SUMIFS('Product Backlog'!H2:H68,'Product Backlog'!B2:B68,A3)</f>
        <v>10</v>
      </c>
      <c r="K3" s="14" t="s">
        <v>132</v>
      </c>
    </row>
    <row r="4" customFormat="false" ht="28.35" hidden="false" customHeight="false" outlineLevel="0" collapsed="false">
      <c r="A4" s="9" t="s">
        <v>138</v>
      </c>
      <c r="B4" s="9" t="s">
        <v>139</v>
      </c>
      <c r="C4" s="9" t="s">
        <v>140</v>
      </c>
      <c r="D4" s="9" t="s">
        <v>141</v>
      </c>
      <c r="E4" s="13" t="s">
        <v>128</v>
      </c>
      <c r="F4" s="9" t="s">
        <v>142</v>
      </c>
      <c r="G4" s="9" t="s">
        <v>124</v>
      </c>
      <c r="H4" s="9" t="s">
        <v>143</v>
      </c>
      <c r="I4" s="9" t="n">
        <f aca="false">COUNTIF('Product Backlog'!B2:B68,A4)</f>
        <v>8</v>
      </c>
      <c r="J4" s="9" t="n">
        <f aca="false">SUMIFS('Product Backlog'!H2:H68,'Product Backlog'!B2:B68,A4)</f>
        <v>37</v>
      </c>
      <c r="K4" s="14" t="s">
        <v>132</v>
      </c>
    </row>
    <row r="5" customFormat="false" ht="41.75" hidden="false" customHeight="false" outlineLevel="0" collapsed="false">
      <c r="A5" s="10" t="s">
        <v>144</v>
      </c>
      <c r="B5" s="10" t="s">
        <v>145</v>
      </c>
      <c r="C5" s="10" t="s">
        <v>146</v>
      </c>
      <c r="D5" s="10" t="s">
        <v>147</v>
      </c>
      <c r="E5" s="13" t="s">
        <v>128</v>
      </c>
      <c r="F5" s="10" t="s">
        <v>148</v>
      </c>
      <c r="G5" s="10" t="s">
        <v>133</v>
      </c>
      <c r="H5" s="10" t="s">
        <v>149</v>
      </c>
      <c r="I5" s="10" t="n">
        <f aca="false">COUNTIF('Product Backlog'!B2:B68,A5)</f>
        <v>5</v>
      </c>
      <c r="J5" s="10" t="n">
        <f aca="false">SUMIFS('Product Backlog'!H2:H68,'Product Backlog'!B2:B68,A5)</f>
        <v>21</v>
      </c>
      <c r="K5" s="14" t="s">
        <v>132</v>
      </c>
    </row>
    <row r="6" customFormat="false" ht="28.35" hidden="false" customHeight="false" outlineLevel="0" collapsed="false">
      <c r="A6" s="9" t="s">
        <v>150</v>
      </c>
      <c r="B6" s="9" t="s">
        <v>151</v>
      </c>
      <c r="C6" s="9" t="s">
        <v>152</v>
      </c>
      <c r="D6" s="9" t="s">
        <v>153</v>
      </c>
      <c r="E6" s="13" t="s">
        <v>128</v>
      </c>
      <c r="F6" s="9" t="s">
        <v>154</v>
      </c>
      <c r="G6" s="9" t="s">
        <v>155</v>
      </c>
      <c r="H6" s="9" t="s">
        <v>156</v>
      </c>
      <c r="I6" s="9" t="n">
        <f aca="false">COUNTIF('Product Backlog'!B2:B68,A6)</f>
        <v>3</v>
      </c>
      <c r="J6" s="9" t="n">
        <f aca="false">SUMIFS('Product Backlog'!H2:H68,'Product Backlog'!B2:B68,A6)</f>
        <v>10</v>
      </c>
      <c r="K6" s="14" t="s">
        <v>132</v>
      </c>
    </row>
    <row r="7" customFormat="false" ht="28.35" hidden="false" customHeight="false" outlineLevel="0" collapsed="false">
      <c r="A7" s="10" t="s">
        <v>157</v>
      </c>
      <c r="B7" s="10" t="s">
        <v>158</v>
      </c>
      <c r="C7" s="10" t="s">
        <v>159</v>
      </c>
      <c r="D7" s="10" t="s">
        <v>160</v>
      </c>
      <c r="E7" s="15" t="s">
        <v>161</v>
      </c>
      <c r="F7" s="10" t="s">
        <v>154</v>
      </c>
      <c r="G7" s="10" t="s">
        <v>155</v>
      </c>
      <c r="H7" s="10" t="s">
        <v>162</v>
      </c>
      <c r="I7" s="10" t="n">
        <f aca="false">COUNTIF('Product Backlog'!B2:B68,A7)</f>
        <v>1</v>
      </c>
      <c r="J7" s="10" t="n">
        <f aca="false">SUMIFS('Product Backlog'!H2:H68,'Product Backlog'!B2:B68,A7)</f>
        <v>5</v>
      </c>
      <c r="K7" s="14" t="s">
        <v>132</v>
      </c>
    </row>
    <row r="8" customFormat="false" ht="28.35" hidden="false" customHeight="false" outlineLevel="0" collapsed="false">
      <c r="A8" s="9" t="s">
        <v>163</v>
      </c>
      <c r="B8" s="9" t="s">
        <v>164</v>
      </c>
      <c r="C8" s="9" t="s">
        <v>165</v>
      </c>
      <c r="D8" s="9" t="s">
        <v>166</v>
      </c>
      <c r="E8" s="15" t="s">
        <v>161</v>
      </c>
      <c r="F8" s="9" t="s">
        <v>167</v>
      </c>
      <c r="G8" s="9" t="s">
        <v>155</v>
      </c>
      <c r="H8" s="9" t="s">
        <v>168</v>
      </c>
      <c r="I8" s="9" t="n">
        <f aca="false">COUNTIF('Product Backlog'!B2:B68,A8)</f>
        <v>4</v>
      </c>
      <c r="J8" s="9" t="n">
        <f aca="false">SUMIFS('Product Backlog'!H2:H68,'Product Backlog'!B2:B68,A8)</f>
        <v>19</v>
      </c>
      <c r="K8" s="14" t="s">
        <v>132</v>
      </c>
    </row>
    <row r="9" customFormat="false" ht="28.35" hidden="false" customHeight="false" outlineLevel="0" collapsed="false">
      <c r="A9" s="10" t="s">
        <v>169</v>
      </c>
      <c r="B9" s="10" t="s">
        <v>170</v>
      </c>
      <c r="C9" s="10" t="s">
        <v>171</v>
      </c>
      <c r="D9" s="10" t="s">
        <v>172</v>
      </c>
      <c r="E9" s="15" t="s">
        <v>161</v>
      </c>
      <c r="F9" s="10" t="s">
        <v>173</v>
      </c>
      <c r="G9" s="10" t="s">
        <v>155</v>
      </c>
      <c r="H9" s="10" t="s">
        <v>174</v>
      </c>
      <c r="I9" s="10" t="n">
        <f aca="false">COUNTIF('Product Backlog'!B2:B68,A9)</f>
        <v>4</v>
      </c>
      <c r="J9" s="10" t="n">
        <f aca="false">SUMIFS('Product Backlog'!H2:H68,'Product Backlog'!B2:B68,A9)</f>
        <v>16</v>
      </c>
      <c r="K9" s="14" t="s">
        <v>132</v>
      </c>
    </row>
    <row r="10" customFormat="false" ht="28.35" hidden="false" customHeight="false" outlineLevel="0" collapsed="false">
      <c r="A10" s="9" t="s">
        <v>175</v>
      </c>
      <c r="B10" s="9" t="s">
        <v>176</v>
      </c>
      <c r="C10" s="9" t="s">
        <v>177</v>
      </c>
      <c r="D10" s="9" t="s">
        <v>178</v>
      </c>
      <c r="E10" s="15" t="s">
        <v>161</v>
      </c>
      <c r="F10" s="9" t="s">
        <v>179</v>
      </c>
      <c r="G10" s="9" t="s">
        <v>180</v>
      </c>
      <c r="H10" s="9" t="s">
        <v>181</v>
      </c>
      <c r="I10" s="9" t="n">
        <f aca="false">COUNTIF('Product Backlog'!B2:B68,A10)</f>
        <v>4</v>
      </c>
      <c r="J10" s="9" t="n">
        <f aca="false">SUMIFS('Product Backlog'!H2:H68,'Product Backlog'!B2:B68,A10)</f>
        <v>17</v>
      </c>
      <c r="K10" s="14" t="s">
        <v>132</v>
      </c>
    </row>
    <row r="11" customFormat="false" ht="28.35" hidden="false" customHeight="false" outlineLevel="0" collapsed="false">
      <c r="A11" s="10" t="s">
        <v>182</v>
      </c>
      <c r="B11" s="10" t="s">
        <v>183</v>
      </c>
      <c r="C11" s="10" t="s">
        <v>184</v>
      </c>
      <c r="D11" s="10" t="s">
        <v>185</v>
      </c>
      <c r="E11" s="15" t="s">
        <v>161</v>
      </c>
      <c r="F11" s="10" t="s">
        <v>186</v>
      </c>
      <c r="G11" s="10" t="s">
        <v>150</v>
      </c>
      <c r="H11" s="10" t="s">
        <v>187</v>
      </c>
      <c r="I11" s="10" t="n">
        <f aca="false">COUNTIF('Product Backlog'!B2:B68,A11)</f>
        <v>3</v>
      </c>
      <c r="J11" s="10" t="n">
        <f aca="false">SUMIFS('Product Backlog'!H2:H68,'Product Backlog'!B2:B68,A11)</f>
        <v>13</v>
      </c>
      <c r="K11" s="14" t="s">
        <v>132</v>
      </c>
    </row>
    <row r="12" customFormat="false" ht="28.35" hidden="false" customHeight="false" outlineLevel="0" collapsed="false">
      <c r="A12" s="9" t="s">
        <v>188</v>
      </c>
      <c r="B12" s="9" t="s">
        <v>189</v>
      </c>
      <c r="C12" s="9" t="s">
        <v>190</v>
      </c>
      <c r="D12" s="9" t="s">
        <v>191</v>
      </c>
      <c r="E12" s="16" t="s">
        <v>192</v>
      </c>
      <c r="F12" s="9" t="s">
        <v>186</v>
      </c>
      <c r="G12" s="9" t="s">
        <v>155</v>
      </c>
      <c r="H12" s="9" t="s">
        <v>193</v>
      </c>
      <c r="I12" s="9" t="n">
        <f aca="false">COUNTIF('Product Backlog'!B2:B68,A12)</f>
        <v>2</v>
      </c>
      <c r="J12" s="9" t="n">
        <f aca="false">SUMIFS('Product Backlog'!H2:H68,'Product Backlog'!B2:B68,A12)</f>
        <v>8</v>
      </c>
      <c r="K12" s="14" t="s">
        <v>132</v>
      </c>
    </row>
    <row r="13" customFormat="false" ht="41.75" hidden="false" customHeight="false" outlineLevel="0" collapsed="false">
      <c r="A13" s="10" t="s">
        <v>194</v>
      </c>
      <c r="B13" s="10" t="s">
        <v>195</v>
      </c>
      <c r="C13" s="10" t="s">
        <v>196</v>
      </c>
      <c r="D13" s="10" t="s">
        <v>197</v>
      </c>
      <c r="E13" s="16" t="s">
        <v>192</v>
      </c>
      <c r="F13" s="10" t="s">
        <v>198</v>
      </c>
      <c r="G13" s="10" t="s">
        <v>199</v>
      </c>
      <c r="H13" s="10" t="s">
        <v>200</v>
      </c>
      <c r="I13" s="10" t="n">
        <f aca="false">COUNTIF('Product Backlog'!B2:B68,A13)</f>
        <v>9</v>
      </c>
      <c r="J13" s="10" t="n">
        <f aca="false">SUMIFS('Product Backlog'!H2:H68,'Product Backlog'!B2:B68,A13)</f>
        <v>47</v>
      </c>
      <c r="K13" s="14" t="s">
        <v>132</v>
      </c>
    </row>
    <row r="14" customFormat="false" ht="28.35" hidden="false" customHeight="false" outlineLevel="0" collapsed="false">
      <c r="A14" s="9" t="s">
        <v>201</v>
      </c>
      <c r="B14" s="9" t="s">
        <v>202</v>
      </c>
      <c r="C14" s="9" t="s">
        <v>203</v>
      </c>
      <c r="D14" s="9" t="s">
        <v>204</v>
      </c>
      <c r="E14" s="13" t="s">
        <v>128</v>
      </c>
      <c r="F14" s="9" t="s">
        <v>205</v>
      </c>
      <c r="G14" s="9" t="s">
        <v>206</v>
      </c>
      <c r="H14" s="9" t="s">
        <v>207</v>
      </c>
      <c r="I14" s="9" t="n">
        <f aca="false">COUNTIF('Product Backlog'!B2:B68,A14)</f>
        <v>9</v>
      </c>
      <c r="J14" s="9" t="n">
        <f aca="false">SUMIFS('Product Backlog'!H2:H68,'Product Backlog'!B2:B68,A14)</f>
        <v>41</v>
      </c>
      <c r="K14" s="14" t="s">
        <v>132</v>
      </c>
    </row>
    <row r="15" customFormat="false" ht="28.35" hidden="false" customHeight="false" outlineLevel="0" collapsed="false">
      <c r="A15" s="10" t="s">
        <v>208</v>
      </c>
      <c r="B15" s="10" t="s">
        <v>209</v>
      </c>
      <c r="C15" s="10" t="s">
        <v>210</v>
      </c>
      <c r="D15" s="10" t="s">
        <v>211</v>
      </c>
      <c r="E15" s="15" t="s">
        <v>161</v>
      </c>
      <c r="F15" s="10" t="s">
        <v>212</v>
      </c>
      <c r="G15" s="10" t="s">
        <v>124</v>
      </c>
      <c r="H15" s="10" t="s">
        <v>213</v>
      </c>
      <c r="I15" s="10" t="n">
        <f aca="false">COUNTIF('Product Backlog'!B2:B68,A15)</f>
        <v>7</v>
      </c>
      <c r="J15" s="10" t="n">
        <f aca="false">SUMIFS('Product Backlog'!H2:H68,'Product Backlog'!B2:B68,A15)</f>
        <v>24</v>
      </c>
      <c r="K15" s="14" t="s">
        <v>132</v>
      </c>
    </row>
  </sheetData>
  <autoFilter ref="A1:K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32"/>
    <col collapsed="false" customWidth="true" hidden="false" outlineLevel="0" max="4" min="4" style="0" width="52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1"/>
  </cols>
  <sheetData>
    <row r="1" customFormat="false" ht="30" hidden="false" customHeight="true" outlineLevel="0" collapsed="false">
      <c r="A1" s="8" t="s">
        <v>214</v>
      </c>
      <c r="B1" s="8" t="s">
        <v>215</v>
      </c>
      <c r="C1" s="8" t="s">
        <v>118</v>
      </c>
      <c r="D1" s="8" t="s">
        <v>119</v>
      </c>
      <c r="E1" s="8" t="s">
        <v>12</v>
      </c>
      <c r="F1" s="8" t="s">
        <v>216</v>
      </c>
      <c r="G1" s="8" t="s">
        <v>92</v>
      </c>
      <c r="H1" s="8" t="s">
        <v>123</v>
      </c>
    </row>
    <row r="2" customFormat="false" ht="15" hidden="false" customHeight="false" outlineLevel="0" collapsed="false">
      <c r="A2" s="9" t="s">
        <v>217</v>
      </c>
      <c r="B2" s="9" t="s">
        <v>124</v>
      </c>
      <c r="C2" s="9" t="s">
        <v>218</v>
      </c>
      <c r="D2" s="9" t="s">
        <v>219</v>
      </c>
      <c r="E2" s="13" t="s">
        <v>128</v>
      </c>
      <c r="F2" s="9" t="s">
        <v>220</v>
      </c>
      <c r="G2" s="9" t="s">
        <v>130</v>
      </c>
      <c r="H2" s="14" t="s">
        <v>132</v>
      </c>
    </row>
    <row r="3" customFormat="false" ht="15" hidden="false" customHeight="false" outlineLevel="0" collapsed="false">
      <c r="A3" s="10" t="s">
        <v>221</v>
      </c>
      <c r="B3" s="10" t="s">
        <v>124</v>
      </c>
      <c r="C3" s="10" t="s">
        <v>222</v>
      </c>
      <c r="D3" s="10" t="s">
        <v>223</v>
      </c>
      <c r="E3" s="13" t="s">
        <v>128</v>
      </c>
      <c r="F3" s="10" t="s">
        <v>220</v>
      </c>
      <c r="G3" s="10" t="s">
        <v>217</v>
      </c>
      <c r="H3" s="14" t="s">
        <v>132</v>
      </c>
    </row>
    <row r="4" customFormat="false" ht="15" hidden="false" customHeight="false" outlineLevel="0" collapsed="false">
      <c r="A4" s="9" t="s">
        <v>224</v>
      </c>
      <c r="B4" s="9" t="s">
        <v>124</v>
      </c>
      <c r="C4" s="9" t="s">
        <v>225</v>
      </c>
      <c r="D4" s="9" t="s">
        <v>226</v>
      </c>
      <c r="E4" s="13" t="s">
        <v>128</v>
      </c>
      <c r="F4" s="9" t="s">
        <v>227</v>
      </c>
      <c r="G4" s="9" t="s">
        <v>217</v>
      </c>
      <c r="H4" s="14" t="s">
        <v>132</v>
      </c>
    </row>
    <row r="5" customFormat="false" ht="15" hidden="false" customHeight="false" outlineLevel="0" collapsed="false">
      <c r="A5" s="10" t="s">
        <v>228</v>
      </c>
      <c r="B5" s="10" t="s">
        <v>133</v>
      </c>
      <c r="C5" s="10" t="s">
        <v>229</v>
      </c>
      <c r="D5" s="10" t="s">
        <v>230</v>
      </c>
      <c r="E5" s="13" t="s">
        <v>128</v>
      </c>
      <c r="F5" s="10" t="s">
        <v>220</v>
      </c>
      <c r="G5" s="10" t="s">
        <v>217</v>
      </c>
      <c r="H5" s="14" t="s">
        <v>132</v>
      </c>
    </row>
    <row r="6" customFormat="false" ht="15" hidden="false" customHeight="false" outlineLevel="0" collapsed="false">
      <c r="A6" s="9" t="s">
        <v>231</v>
      </c>
      <c r="B6" s="9" t="s">
        <v>133</v>
      </c>
      <c r="C6" s="9" t="s">
        <v>232</v>
      </c>
      <c r="D6" s="9" t="s">
        <v>233</v>
      </c>
      <c r="E6" s="13" t="s">
        <v>128</v>
      </c>
      <c r="F6" s="9" t="s">
        <v>220</v>
      </c>
      <c r="G6" s="9" t="s">
        <v>228</v>
      </c>
      <c r="H6" s="14" t="s">
        <v>132</v>
      </c>
    </row>
    <row r="7" customFormat="false" ht="15" hidden="false" customHeight="false" outlineLevel="0" collapsed="false">
      <c r="A7" s="10" t="s">
        <v>234</v>
      </c>
      <c r="B7" s="10" t="s">
        <v>133</v>
      </c>
      <c r="C7" s="10" t="s">
        <v>235</v>
      </c>
      <c r="D7" s="10" t="s">
        <v>236</v>
      </c>
      <c r="E7" s="16" t="s">
        <v>192</v>
      </c>
      <c r="F7" s="10" t="s">
        <v>220</v>
      </c>
      <c r="G7" s="10" t="s">
        <v>231</v>
      </c>
      <c r="H7" s="14" t="s">
        <v>132</v>
      </c>
    </row>
    <row r="8" customFormat="false" ht="15" hidden="false" customHeight="false" outlineLevel="0" collapsed="false">
      <c r="A8" s="9" t="s">
        <v>237</v>
      </c>
      <c r="B8" s="9" t="s">
        <v>133</v>
      </c>
      <c r="C8" s="9" t="s">
        <v>238</v>
      </c>
      <c r="D8" s="9" t="s">
        <v>239</v>
      </c>
      <c r="E8" s="15" t="s">
        <v>161</v>
      </c>
      <c r="F8" s="9" t="s">
        <v>220</v>
      </c>
      <c r="G8" s="9" t="s">
        <v>224</v>
      </c>
      <c r="H8" s="14" t="s">
        <v>132</v>
      </c>
    </row>
    <row r="9" customFormat="false" ht="15" hidden="false" customHeight="false" outlineLevel="0" collapsed="false">
      <c r="A9" s="10" t="s">
        <v>240</v>
      </c>
      <c r="B9" s="10" t="s">
        <v>138</v>
      </c>
      <c r="C9" s="10" t="s">
        <v>241</v>
      </c>
      <c r="D9" s="10" t="s">
        <v>242</v>
      </c>
      <c r="E9" s="13" t="s">
        <v>128</v>
      </c>
      <c r="F9" s="10" t="s">
        <v>227</v>
      </c>
      <c r="G9" s="10" t="s">
        <v>217</v>
      </c>
      <c r="H9" s="14" t="s">
        <v>132</v>
      </c>
    </row>
    <row r="10" customFormat="false" ht="15" hidden="false" customHeight="false" outlineLevel="0" collapsed="false">
      <c r="A10" s="9" t="s">
        <v>243</v>
      </c>
      <c r="B10" s="9" t="s">
        <v>138</v>
      </c>
      <c r="C10" s="9" t="s">
        <v>244</v>
      </c>
      <c r="D10" s="9" t="s">
        <v>245</v>
      </c>
      <c r="E10" s="13" t="s">
        <v>128</v>
      </c>
      <c r="F10" s="9" t="s">
        <v>227</v>
      </c>
      <c r="G10" s="9" t="s">
        <v>240</v>
      </c>
      <c r="H10" s="14" t="s">
        <v>132</v>
      </c>
    </row>
    <row r="11" customFormat="false" ht="15" hidden="false" customHeight="false" outlineLevel="0" collapsed="false">
      <c r="A11" s="10" t="s">
        <v>246</v>
      </c>
      <c r="B11" s="10" t="s">
        <v>138</v>
      </c>
      <c r="C11" s="10" t="s">
        <v>247</v>
      </c>
      <c r="D11" s="10" t="s">
        <v>248</v>
      </c>
      <c r="E11" s="16" t="s">
        <v>192</v>
      </c>
      <c r="F11" s="10" t="s">
        <v>227</v>
      </c>
      <c r="G11" s="10" t="s">
        <v>243</v>
      </c>
      <c r="H11" s="14" t="s">
        <v>132</v>
      </c>
    </row>
    <row r="12" customFormat="false" ht="15" hidden="false" customHeight="false" outlineLevel="0" collapsed="false">
      <c r="A12" s="9" t="s">
        <v>249</v>
      </c>
      <c r="B12" s="9" t="s">
        <v>138</v>
      </c>
      <c r="C12" s="9" t="s">
        <v>250</v>
      </c>
      <c r="D12" s="9" t="s">
        <v>251</v>
      </c>
      <c r="E12" s="16" t="s">
        <v>192</v>
      </c>
      <c r="F12" s="9" t="s">
        <v>227</v>
      </c>
      <c r="G12" s="9" t="s">
        <v>243</v>
      </c>
      <c r="H12" s="14" t="s">
        <v>132</v>
      </c>
    </row>
    <row r="13" customFormat="false" ht="15" hidden="false" customHeight="false" outlineLevel="0" collapsed="false">
      <c r="A13" s="10" t="s">
        <v>252</v>
      </c>
      <c r="B13" s="10" t="s">
        <v>138</v>
      </c>
      <c r="C13" s="10" t="s">
        <v>253</v>
      </c>
      <c r="D13" s="10" t="s">
        <v>254</v>
      </c>
      <c r="E13" s="15" t="s">
        <v>161</v>
      </c>
      <c r="F13" s="10" t="s">
        <v>255</v>
      </c>
      <c r="G13" s="10" t="s">
        <v>256</v>
      </c>
      <c r="H13" s="14" t="s">
        <v>132</v>
      </c>
    </row>
    <row r="14" customFormat="false" ht="15" hidden="false" customHeight="false" outlineLevel="0" collapsed="false">
      <c r="A14" s="9" t="s">
        <v>257</v>
      </c>
      <c r="B14" s="9" t="s">
        <v>144</v>
      </c>
      <c r="C14" s="9" t="s">
        <v>258</v>
      </c>
      <c r="D14" s="9" t="s">
        <v>259</v>
      </c>
      <c r="E14" s="13" t="s">
        <v>128</v>
      </c>
      <c r="F14" s="9" t="s">
        <v>227</v>
      </c>
      <c r="G14" s="9" t="s">
        <v>260</v>
      </c>
      <c r="H14" s="14" t="s">
        <v>132</v>
      </c>
    </row>
    <row r="15" customFormat="false" ht="15" hidden="false" customHeight="false" outlineLevel="0" collapsed="false">
      <c r="A15" s="10" t="s">
        <v>261</v>
      </c>
      <c r="B15" s="10" t="s">
        <v>144</v>
      </c>
      <c r="C15" s="10" t="s">
        <v>262</v>
      </c>
      <c r="D15" s="10" t="s">
        <v>263</v>
      </c>
      <c r="E15" s="13" t="s">
        <v>128</v>
      </c>
      <c r="F15" s="10" t="s">
        <v>220</v>
      </c>
      <c r="G15" s="10" t="s">
        <v>257</v>
      </c>
      <c r="H15" s="14" t="s">
        <v>132</v>
      </c>
    </row>
    <row r="16" customFormat="false" ht="15" hidden="false" customHeight="false" outlineLevel="0" collapsed="false">
      <c r="A16" s="9" t="s">
        <v>264</v>
      </c>
      <c r="B16" s="9" t="s">
        <v>144</v>
      </c>
      <c r="C16" s="9" t="s">
        <v>265</v>
      </c>
      <c r="D16" s="9" t="s">
        <v>266</v>
      </c>
      <c r="E16" s="13" t="s">
        <v>128</v>
      </c>
      <c r="F16" s="9" t="s">
        <v>227</v>
      </c>
      <c r="G16" s="9" t="s">
        <v>257</v>
      </c>
      <c r="H16" s="14" t="s">
        <v>132</v>
      </c>
    </row>
    <row r="17" customFormat="false" ht="15" hidden="false" customHeight="false" outlineLevel="0" collapsed="false">
      <c r="A17" s="10" t="s">
        <v>267</v>
      </c>
      <c r="B17" s="10" t="s">
        <v>144</v>
      </c>
      <c r="C17" s="10" t="s">
        <v>268</v>
      </c>
      <c r="D17" s="10" t="s">
        <v>269</v>
      </c>
      <c r="E17" s="17" t="s">
        <v>270</v>
      </c>
      <c r="F17" s="10" t="s">
        <v>255</v>
      </c>
      <c r="G17" s="10" t="s">
        <v>264</v>
      </c>
      <c r="H17" s="14" t="s">
        <v>132</v>
      </c>
    </row>
    <row r="18" customFormat="false" ht="15" hidden="false" customHeight="false" outlineLevel="0" collapsed="false">
      <c r="A18" s="9" t="s">
        <v>271</v>
      </c>
      <c r="B18" s="9" t="s">
        <v>150</v>
      </c>
      <c r="C18" s="9" t="s">
        <v>272</v>
      </c>
      <c r="D18" s="9" t="s">
        <v>273</v>
      </c>
      <c r="E18" s="13" t="s">
        <v>128</v>
      </c>
      <c r="F18" s="9" t="s">
        <v>227</v>
      </c>
      <c r="G18" s="9" t="s">
        <v>274</v>
      </c>
      <c r="H18" s="14" t="s">
        <v>132</v>
      </c>
    </row>
    <row r="19" customFormat="false" ht="15" hidden="false" customHeight="false" outlineLevel="0" collapsed="false">
      <c r="A19" s="10" t="s">
        <v>275</v>
      </c>
      <c r="B19" s="10" t="s">
        <v>150</v>
      </c>
      <c r="C19" s="10" t="s">
        <v>276</v>
      </c>
      <c r="D19" s="10" t="s">
        <v>277</v>
      </c>
      <c r="E19" s="15" t="s">
        <v>161</v>
      </c>
      <c r="F19" s="10" t="s">
        <v>220</v>
      </c>
      <c r="G19" s="10" t="s">
        <v>271</v>
      </c>
      <c r="H19" s="14" t="s">
        <v>132</v>
      </c>
    </row>
    <row r="20" customFormat="false" ht="15" hidden="false" customHeight="false" outlineLevel="0" collapsed="false">
      <c r="A20" s="9" t="s">
        <v>278</v>
      </c>
      <c r="B20" s="9" t="s">
        <v>157</v>
      </c>
      <c r="C20" s="9" t="s">
        <v>279</v>
      </c>
      <c r="D20" s="9" t="s">
        <v>280</v>
      </c>
      <c r="E20" s="15" t="s">
        <v>161</v>
      </c>
      <c r="F20" s="9" t="s">
        <v>227</v>
      </c>
      <c r="G20" s="9" t="s">
        <v>274</v>
      </c>
      <c r="H20" s="14" t="s">
        <v>132</v>
      </c>
    </row>
    <row r="21" customFormat="false" ht="15" hidden="false" customHeight="false" outlineLevel="0" collapsed="false">
      <c r="A21" s="10" t="s">
        <v>281</v>
      </c>
      <c r="B21" s="10" t="s">
        <v>163</v>
      </c>
      <c r="C21" s="10" t="s">
        <v>282</v>
      </c>
      <c r="D21" s="10" t="s">
        <v>283</v>
      </c>
      <c r="E21" s="15" t="s">
        <v>161</v>
      </c>
      <c r="F21" s="10" t="s">
        <v>220</v>
      </c>
      <c r="G21" s="10" t="s">
        <v>237</v>
      </c>
      <c r="H21" s="14" t="s">
        <v>132</v>
      </c>
    </row>
    <row r="22" customFormat="false" ht="15" hidden="false" customHeight="false" outlineLevel="0" collapsed="false">
      <c r="A22" s="9" t="s">
        <v>284</v>
      </c>
      <c r="B22" s="9" t="s">
        <v>163</v>
      </c>
      <c r="C22" s="9" t="s">
        <v>285</v>
      </c>
      <c r="D22" s="9" t="s">
        <v>286</v>
      </c>
      <c r="E22" s="15" t="s">
        <v>161</v>
      </c>
      <c r="F22" s="9" t="s">
        <v>255</v>
      </c>
      <c r="G22" s="9" t="s">
        <v>287</v>
      </c>
      <c r="H22" s="14" t="s">
        <v>132</v>
      </c>
    </row>
    <row r="23" customFormat="false" ht="15" hidden="false" customHeight="false" outlineLevel="0" collapsed="false">
      <c r="A23" s="10" t="s">
        <v>288</v>
      </c>
      <c r="B23" s="10" t="s">
        <v>163</v>
      </c>
      <c r="C23" s="10" t="s">
        <v>289</v>
      </c>
      <c r="D23" s="10" t="s">
        <v>290</v>
      </c>
      <c r="E23" s="15" t="s">
        <v>161</v>
      </c>
      <c r="F23" s="10" t="s">
        <v>227</v>
      </c>
      <c r="G23" s="10" t="s">
        <v>284</v>
      </c>
      <c r="H23" s="14" t="s">
        <v>132</v>
      </c>
    </row>
    <row r="24" customFormat="false" ht="15" hidden="false" customHeight="false" outlineLevel="0" collapsed="false">
      <c r="A24" s="9" t="s">
        <v>291</v>
      </c>
      <c r="B24" s="9" t="s">
        <v>169</v>
      </c>
      <c r="C24" s="9" t="s">
        <v>292</v>
      </c>
      <c r="D24" s="9" t="s">
        <v>293</v>
      </c>
      <c r="E24" s="15" t="s">
        <v>161</v>
      </c>
      <c r="F24" s="9" t="s">
        <v>227</v>
      </c>
      <c r="G24" s="9" t="s">
        <v>243</v>
      </c>
      <c r="H24" s="14" t="s">
        <v>132</v>
      </c>
    </row>
    <row r="25" customFormat="false" ht="15" hidden="false" customHeight="false" outlineLevel="0" collapsed="false">
      <c r="A25" s="10" t="s">
        <v>294</v>
      </c>
      <c r="B25" s="10" t="s">
        <v>169</v>
      </c>
      <c r="C25" s="10" t="s">
        <v>295</v>
      </c>
      <c r="D25" s="10" t="s">
        <v>296</v>
      </c>
      <c r="E25" s="15" t="s">
        <v>161</v>
      </c>
      <c r="F25" s="10" t="s">
        <v>227</v>
      </c>
      <c r="G25" s="10" t="s">
        <v>291</v>
      </c>
      <c r="H25" s="14" t="s">
        <v>132</v>
      </c>
    </row>
    <row r="26" customFormat="false" ht="15" hidden="false" customHeight="false" outlineLevel="0" collapsed="false">
      <c r="A26" s="9" t="s">
        <v>297</v>
      </c>
      <c r="B26" s="9" t="s">
        <v>169</v>
      </c>
      <c r="C26" s="9" t="s">
        <v>298</v>
      </c>
      <c r="D26" s="9" t="s">
        <v>299</v>
      </c>
      <c r="E26" s="15" t="s">
        <v>161</v>
      </c>
      <c r="F26" s="9" t="s">
        <v>227</v>
      </c>
      <c r="G26" s="9" t="s">
        <v>300</v>
      </c>
      <c r="H26" s="14" t="s">
        <v>132</v>
      </c>
    </row>
    <row r="27" customFormat="false" ht="15" hidden="false" customHeight="false" outlineLevel="0" collapsed="false">
      <c r="A27" s="10" t="s">
        <v>301</v>
      </c>
      <c r="B27" s="10" t="s">
        <v>175</v>
      </c>
      <c r="C27" s="10" t="s">
        <v>302</v>
      </c>
      <c r="D27" s="10" t="s">
        <v>303</v>
      </c>
      <c r="E27" s="16" t="s">
        <v>192</v>
      </c>
      <c r="F27" s="10" t="s">
        <v>227</v>
      </c>
      <c r="G27" s="10" t="s">
        <v>274</v>
      </c>
      <c r="H27" s="14" t="s">
        <v>132</v>
      </c>
    </row>
    <row r="28" customFormat="false" ht="15" hidden="false" customHeight="false" outlineLevel="0" collapsed="false">
      <c r="A28" s="9" t="s">
        <v>304</v>
      </c>
      <c r="B28" s="9" t="s">
        <v>175</v>
      </c>
      <c r="C28" s="9" t="s">
        <v>305</v>
      </c>
      <c r="D28" s="9" t="s">
        <v>306</v>
      </c>
      <c r="E28" s="15" t="s">
        <v>161</v>
      </c>
      <c r="F28" s="9" t="s">
        <v>255</v>
      </c>
      <c r="G28" s="9" t="s">
        <v>307</v>
      </c>
      <c r="H28" s="14" t="s">
        <v>132</v>
      </c>
    </row>
    <row r="29" customFormat="false" ht="15" hidden="false" customHeight="false" outlineLevel="0" collapsed="false">
      <c r="A29" s="10" t="s">
        <v>308</v>
      </c>
      <c r="B29" s="10" t="s">
        <v>175</v>
      </c>
      <c r="C29" s="10" t="s">
        <v>309</v>
      </c>
      <c r="D29" s="10" t="s">
        <v>310</v>
      </c>
      <c r="E29" s="17" t="s">
        <v>270</v>
      </c>
      <c r="F29" s="10" t="s">
        <v>220</v>
      </c>
      <c r="G29" s="10" t="s">
        <v>304</v>
      </c>
      <c r="H29" s="14" t="s">
        <v>132</v>
      </c>
    </row>
    <row r="30" customFormat="false" ht="15" hidden="false" customHeight="false" outlineLevel="0" collapsed="false">
      <c r="A30" s="9" t="s">
        <v>311</v>
      </c>
      <c r="B30" s="9" t="s">
        <v>182</v>
      </c>
      <c r="C30" s="9" t="s">
        <v>312</v>
      </c>
      <c r="D30" s="9" t="s">
        <v>313</v>
      </c>
      <c r="E30" s="15" t="s">
        <v>161</v>
      </c>
      <c r="F30" s="9" t="s">
        <v>227</v>
      </c>
      <c r="G30" s="9" t="s">
        <v>271</v>
      </c>
      <c r="H30" s="14" t="s">
        <v>132</v>
      </c>
    </row>
    <row r="31" customFormat="false" ht="15" hidden="false" customHeight="false" outlineLevel="0" collapsed="false">
      <c r="A31" s="10" t="s">
        <v>314</v>
      </c>
      <c r="B31" s="10" t="s">
        <v>182</v>
      </c>
      <c r="C31" s="10" t="s">
        <v>315</v>
      </c>
      <c r="D31" s="10" t="s">
        <v>316</v>
      </c>
      <c r="E31" s="16" t="s">
        <v>192</v>
      </c>
      <c r="F31" s="10" t="s">
        <v>227</v>
      </c>
      <c r="G31" s="10" t="s">
        <v>271</v>
      </c>
      <c r="H31" s="14" t="s">
        <v>132</v>
      </c>
    </row>
    <row r="32" customFormat="false" ht="15" hidden="false" customHeight="false" outlineLevel="0" collapsed="false">
      <c r="A32" s="9" t="s">
        <v>317</v>
      </c>
      <c r="B32" s="9" t="s">
        <v>182</v>
      </c>
      <c r="C32" s="9" t="s">
        <v>318</v>
      </c>
      <c r="D32" s="9" t="s">
        <v>319</v>
      </c>
      <c r="E32" s="15" t="s">
        <v>161</v>
      </c>
      <c r="F32" s="9" t="s">
        <v>220</v>
      </c>
      <c r="G32" s="9" t="s">
        <v>320</v>
      </c>
      <c r="H32" s="14" t="s">
        <v>132</v>
      </c>
    </row>
    <row r="33" customFormat="false" ht="15" hidden="false" customHeight="false" outlineLevel="0" collapsed="false">
      <c r="A33" s="10" t="s">
        <v>321</v>
      </c>
      <c r="B33" s="10" t="s">
        <v>188</v>
      </c>
      <c r="C33" s="10" t="s">
        <v>322</v>
      </c>
      <c r="D33" s="10" t="s">
        <v>323</v>
      </c>
      <c r="E33" s="16" t="s">
        <v>192</v>
      </c>
      <c r="F33" s="10" t="s">
        <v>220</v>
      </c>
      <c r="G33" s="10" t="s">
        <v>243</v>
      </c>
      <c r="H33" s="14" t="s">
        <v>132</v>
      </c>
    </row>
    <row r="34" customFormat="false" ht="15" hidden="false" customHeight="false" outlineLevel="0" collapsed="false">
      <c r="A34" s="9" t="s">
        <v>324</v>
      </c>
      <c r="B34" s="9" t="s">
        <v>188</v>
      </c>
      <c r="C34" s="9" t="s">
        <v>325</v>
      </c>
      <c r="D34" s="9" t="s">
        <v>326</v>
      </c>
      <c r="E34" s="16" t="s">
        <v>192</v>
      </c>
      <c r="F34" s="9" t="s">
        <v>227</v>
      </c>
      <c r="G34" s="9" t="s">
        <v>327</v>
      </c>
      <c r="H34" s="14" t="s">
        <v>132</v>
      </c>
    </row>
    <row r="35" customFormat="false" ht="15" hidden="false" customHeight="false" outlineLevel="0" collapsed="false">
      <c r="A35" s="10" t="s">
        <v>328</v>
      </c>
      <c r="B35" s="10" t="s">
        <v>194</v>
      </c>
      <c r="C35" s="10" t="s">
        <v>329</v>
      </c>
      <c r="D35" s="10" t="s">
        <v>330</v>
      </c>
      <c r="E35" s="16" t="s">
        <v>192</v>
      </c>
      <c r="F35" s="10" t="s">
        <v>255</v>
      </c>
      <c r="G35" s="10" t="s">
        <v>252</v>
      </c>
      <c r="H35" s="14" t="s">
        <v>132</v>
      </c>
    </row>
    <row r="36" customFormat="false" ht="15" hidden="false" customHeight="false" outlineLevel="0" collapsed="false">
      <c r="A36" s="9" t="s">
        <v>331</v>
      </c>
      <c r="B36" s="9" t="s">
        <v>194</v>
      </c>
      <c r="C36" s="9" t="s">
        <v>332</v>
      </c>
      <c r="D36" s="9" t="s">
        <v>333</v>
      </c>
      <c r="E36" s="16" t="s">
        <v>192</v>
      </c>
      <c r="F36" s="9" t="s">
        <v>255</v>
      </c>
      <c r="G36" s="9" t="s">
        <v>328</v>
      </c>
      <c r="H36" s="14" t="s">
        <v>132</v>
      </c>
    </row>
    <row r="37" customFormat="false" ht="15" hidden="false" customHeight="false" outlineLevel="0" collapsed="false">
      <c r="A37" s="10" t="s">
        <v>334</v>
      </c>
      <c r="B37" s="10" t="s">
        <v>194</v>
      </c>
      <c r="C37" s="10" t="s">
        <v>335</v>
      </c>
      <c r="D37" s="10" t="s">
        <v>336</v>
      </c>
      <c r="E37" s="16" t="s">
        <v>192</v>
      </c>
      <c r="F37" s="10" t="s">
        <v>255</v>
      </c>
      <c r="G37" s="10" t="s">
        <v>337</v>
      </c>
      <c r="H37" s="14" t="s">
        <v>132</v>
      </c>
    </row>
    <row r="38" customFormat="false" ht="15" hidden="false" customHeight="false" outlineLevel="0" collapsed="false">
      <c r="A38" s="9" t="s">
        <v>338</v>
      </c>
      <c r="B38" s="9" t="s">
        <v>194</v>
      </c>
      <c r="C38" s="9" t="s">
        <v>339</v>
      </c>
      <c r="D38" s="9" t="s">
        <v>340</v>
      </c>
      <c r="E38" s="15" t="s">
        <v>161</v>
      </c>
      <c r="F38" s="9" t="s">
        <v>227</v>
      </c>
      <c r="G38" s="9" t="s">
        <v>341</v>
      </c>
      <c r="H38" s="14" t="s">
        <v>132</v>
      </c>
    </row>
    <row r="39" customFormat="false" ht="15" hidden="false" customHeight="false" outlineLevel="0" collapsed="false">
      <c r="A39" s="10" t="s">
        <v>342</v>
      </c>
      <c r="B39" s="10" t="s">
        <v>201</v>
      </c>
      <c r="C39" s="10" t="s">
        <v>343</v>
      </c>
      <c r="D39" s="10" t="s">
        <v>344</v>
      </c>
      <c r="E39" s="16" t="s">
        <v>192</v>
      </c>
      <c r="F39" s="10" t="s">
        <v>255</v>
      </c>
      <c r="G39" s="10" t="s">
        <v>345</v>
      </c>
      <c r="H39" s="14" t="s">
        <v>132</v>
      </c>
    </row>
    <row r="40" customFormat="false" ht="15" hidden="false" customHeight="false" outlineLevel="0" collapsed="false">
      <c r="A40" s="9" t="s">
        <v>346</v>
      </c>
      <c r="B40" s="9" t="s">
        <v>201</v>
      </c>
      <c r="C40" s="9" t="s">
        <v>347</v>
      </c>
      <c r="D40" s="9" t="s">
        <v>348</v>
      </c>
      <c r="E40" s="13" t="s">
        <v>128</v>
      </c>
      <c r="F40" s="9" t="s">
        <v>227</v>
      </c>
      <c r="G40" s="9" t="s">
        <v>252</v>
      </c>
      <c r="H40" s="14" t="s">
        <v>132</v>
      </c>
    </row>
    <row r="41" customFormat="false" ht="15" hidden="false" customHeight="false" outlineLevel="0" collapsed="false">
      <c r="A41" s="10" t="s">
        <v>349</v>
      </c>
      <c r="B41" s="10" t="s">
        <v>201</v>
      </c>
      <c r="C41" s="10" t="s">
        <v>350</v>
      </c>
      <c r="D41" s="10" t="s">
        <v>351</v>
      </c>
      <c r="E41" s="15" t="s">
        <v>161</v>
      </c>
      <c r="F41" s="10" t="s">
        <v>227</v>
      </c>
      <c r="G41" s="10" t="s">
        <v>352</v>
      </c>
      <c r="H41" s="14" t="s">
        <v>132</v>
      </c>
    </row>
    <row r="42" customFormat="false" ht="15" hidden="false" customHeight="false" outlineLevel="0" collapsed="false">
      <c r="A42" s="9" t="s">
        <v>353</v>
      </c>
      <c r="B42" s="9" t="s">
        <v>201</v>
      </c>
      <c r="C42" s="9" t="s">
        <v>354</v>
      </c>
      <c r="D42" s="9" t="s">
        <v>355</v>
      </c>
      <c r="E42" s="13" t="s">
        <v>128</v>
      </c>
      <c r="F42" s="9" t="s">
        <v>227</v>
      </c>
      <c r="G42" s="9" t="s">
        <v>221</v>
      </c>
      <c r="H42" s="14" t="s">
        <v>132</v>
      </c>
    </row>
    <row r="43" customFormat="false" ht="15" hidden="false" customHeight="false" outlineLevel="0" collapsed="false">
      <c r="A43" s="10" t="s">
        <v>356</v>
      </c>
      <c r="B43" s="10" t="s">
        <v>201</v>
      </c>
      <c r="C43" s="10" t="s">
        <v>357</v>
      </c>
      <c r="D43" s="10" t="s">
        <v>358</v>
      </c>
      <c r="E43" s="17" t="s">
        <v>270</v>
      </c>
      <c r="F43" s="10" t="s">
        <v>227</v>
      </c>
      <c r="G43" s="10" t="s">
        <v>284</v>
      </c>
      <c r="H43" s="14" t="s">
        <v>132</v>
      </c>
    </row>
    <row r="44" customFormat="false" ht="15" hidden="false" customHeight="false" outlineLevel="0" collapsed="false">
      <c r="A44" s="9" t="s">
        <v>359</v>
      </c>
      <c r="B44" s="9" t="s">
        <v>201</v>
      </c>
      <c r="C44" s="9" t="s">
        <v>360</v>
      </c>
      <c r="D44" s="9" t="s">
        <v>361</v>
      </c>
      <c r="E44" s="17" t="s">
        <v>270</v>
      </c>
      <c r="F44" s="9" t="s">
        <v>227</v>
      </c>
      <c r="G44" s="9" t="s">
        <v>243</v>
      </c>
      <c r="H44" s="14" t="s">
        <v>132</v>
      </c>
    </row>
    <row r="45" customFormat="false" ht="15" hidden="false" customHeight="false" outlineLevel="0" collapsed="false">
      <c r="A45" s="10" t="s">
        <v>362</v>
      </c>
      <c r="B45" s="10" t="s">
        <v>208</v>
      </c>
      <c r="C45" s="10" t="s">
        <v>363</v>
      </c>
      <c r="D45" s="10" t="s">
        <v>364</v>
      </c>
      <c r="E45" s="15" t="s">
        <v>161</v>
      </c>
      <c r="F45" s="10" t="s">
        <v>220</v>
      </c>
      <c r="G45" s="10" t="s">
        <v>221</v>
      </c>
      <c r="H45" s="14" t="s">
        <v>132</v>
      </c>
    </row>
    <row r="46" customFormat="false" ht="15" hidden="false" customHeight="false" outlineLevel="0" collapsed="false">
      <c r="A46" s="9" t="s">
        <v>365</v>
      </c>
      <c r="B46" s="9" t="s">
        <v>208</v>
      </c>
      <c r="C46" s="9" t="s">
        <v>366</v>
      </c>
      <c r="D46" s="9" t="s">
        <v>367</v>
      </c>
      <c r="E46" s="15" t="s">
        <v>161</v>
      </c>
      <c r="F46" s="9" t="s">
        <v>227</v>
      </c>
      <c r="G46" s="9" t="s">
        <v>243</v>
      </c>
      <c r="H46" s="14" t="s">
        <v>132</v>
      </c>
    </row>
    <row r="47" customFormat="false" ht="15" hidden="false" customHeight="false" outlineLevel="0" collapsed="false">
      <c r="A47" s="10" t="s">
        <v>368</v>
      </c>
      <c r="B47" s="10" t="s">
        <v>208</v>
      </c>
      <c r="C47" s="10" t="s">
        <v>369</v>
      </c>
      <c r="D47" s="10" t="s">
        <v>370</v>
      </c>
      <c r="E47" s="15" t="s">
        <v>161</v>
      </c>
      <c r="F47" s="10" t="s">
        <v>227</v>
      </c>
      <c r="G47" s="10" t="s">
        <v>271</v>
      </c>
      <c r="H47" s="14" t="s">
        <v>132</v>
      </c>
    </row>
    <row r="48" customFormat="false" ht="15" hidden="false" customHeight="false" outlineLevel="0" collapsed="false">
      <c r="A48" s="9" t="s">
        <v>371</v>
      </c>
      <c r="B48" s="9" t="s">
        <v>208</v>
      </c>
      <c r="C48" s="9" t="s">
        <v>372</v>
      </c>
      <c r="D48" s="9" t="s">
        <v>373</v>
      </c>
      <c r="E48" s="15" t="s">
        <v>161</v>
      </c>
      <c r="F48" s="9" t="s">
        <v>227</v>
      </c>
      <c r="G48" s="9" t="s">
        <v>243</v>
      </c>
      <c r="H48" s="14" t="s">
        <v>132</v>
      </c>
    </row>
    <row r="49" customFormat="false" ht="15" hidden="false" customHeight="false" outlineLevel="0" collapsed="false">
      <c r="A49" s="10" t="s">
        <v>374</v>
      </c>
      <c r="B49" s="10" t="s">
        <v>208</v>
      </c>
      <c r="C49" s="10" t="s">
        <v>375</v>
      </c>
      <c r="D49" s="10" t="s">
        <v>376</v>
      </c>
      <c r="E49" s="16" t="s">
        <v>192</v>
      </c>
      <c r="F49" s="10" t="s">
        <v>220</v>
      </c>
      <c r="G49" s="10" t="s">
        <v>224</v>
      </c>
      <c r="H49" s="14" t="s">
        <v>132</v>
      </c>
    </row>
    <row r="50" customFormat="false" ht="15" hidden="false" customHeight="false" outlineLevel="0" collapsed="false">
      <c r="A50" s="9" t="s">
        <v>377</v>
      </c>
      <c r="B50" s="9" t="s">
        <v>208</v>
      </c>
      <c r="C50" s="9" t="s">
        <v>378</v>
      </c>
      <c r="D50" s="9" t="s">
        <v>379</v>
      </c>
      <c r="E50" s="16" t="s">
        <v>192</v>
      </c>
      <c r="F50" s="9" t="s">
        <v>220</v>
      </c>
      <c r="G50" s="9" t="s">
        <v>243</v>
      </c>
      <c r="H50" s="14" t="s">
        <v>132</v>
      </c>
    </row>
  </sheetData>
  <autoFilter ref="A1:H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N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34"/>
    <col collapsed="false" customWidth="true" hidden="false" outlineLevel="0" max="5" min="5" style="0" width="52"/>
    <col collapsed="false" customWidth="true" hidden="false" outlineLevel="0" max="6" min="6" style="0" width="70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8"/>
    <col collapsed="false" customWidth="true" hidden="false" outlineLevel="0" max="12" min="12" style="0" width="10"/>
    <col collapsed="false" customWidth="true" hidden="false" outlineLevel="0" max="13" min="13" style="0" width="22"/>
    <col collapsed="false" customWidth="true" hidden="false" outlineLevel="0" max="14" min="14" style="0" width="10"/>
  </cols>
  <sheetData>
    <row r="1" customFormat="false" ht="30" hidden="false" customHeight="true" outlineLevel="0" collapsed="false">
      <c r="A1" s="8" t="s">
        <v>380</v>
      </c>
      <c r="B1" s="8" t="s">
        <v>215</v>
      </c>
      <c r="C1" s="8" t="s">
        <v>381</v>
      </c>
      <c r="D1" s="8" t="s">
        <v>382</v>
      </c>
      <c r="E1" s="8" t="s">
        <v>383</v>
      </c>
      <c r="F1" s="8" t="s">
        <v>384</v>
      </c>
      <c r="G1" s="8" t="s">
        <v>12</v>
      </c>
      <c r="H1" s="8" t="s">
        <v>14</v>
      </c>
      <c r="I1" s="8" t="s">
        <v>385</v>
      </c>
      <c r="J1" s="8" t="s">
        <v>386</v>
      </c>
      <c r="K1" s="8" t="s">
        <v>387</v>
      </c>
      <c r="L1" s="8" t="s">
        <v>85</v>
      </c>
      <c r="M1" s="8" t="s">
        <v>388</v>
      </c>
      <c r="N1" s="8" t="s">
        <v>123</v>
      </c>
    </row>
    <row r="2" customFormat="false" ht="95.5" hidden="false" customHeight="false" outlineLevel="0" collapsed="false">
      <c r="A2" s="9" t="s">
        <v>389</v>
      </c>
      <c r="B2" s="9" t="s">
        <v>124</v>
      </c>
      <c r="C2" s="9" t="s">
        <v>217</v>
      </c>
      <c r="D2" s="9" t="s">
        <v>390</v>
      </c>
      <c r="E2" s="9" t="s">
        <v>391</v>
      </c>
      <c r="F2" s="9" t="s">
        <v>392</v>
      </c>
      <c r="G2" s="13" t="s">
        <v>128</v>
      </c>
      <c r="H2" s="9" t="n">
        <v>3</v>
      </c>
      <c r="I2" s="9" t="s">
        <v>393</v>
      </c>
      <c r="J2" s="9" t="s">
        <v>43</v>
      </c>
      <c r="K2" s="9" t="n">
        <v>1</v>
      </c>
      <c r="L2" s="9" t="s">
        <v>94</v>
      </c>
      <c r="M2" s="9" t="s">
        <v>130</v>
      </c>
      <c r="N2" s="18" t="s">
        <v>394</v>
      </c>
    </row>
    <row r="3" customFormat="false" ht="68.65" hidden="false" customHeight="false" outlineLevel="0" collapsed="false">
      <c r="A3" s="10" t="s">
        <v>395</v>
      </c>
      <c r="B3" s="10" t="s">
        <v>124</v>
      </c>
      <c r="C3" s="10" t="s">
        <v>221</v>
      </c>
      <c r="D3" s="10" t="s">
        <v>396</v>
      </c>
      <c r="E3" s="10" t="s">
        <v>397</v>
      </c>
      <c r="F3" s="10" t="s">
        <v>398</v>
      </c>
      <c r="G3" s="13" t="s">
        <v>128</v>
      </c>
      <c r="H3" s="10" t="n">
        <v>3</v>
      </c>
      <c r="I3" s="10" t="s">
        <v>393</v>
      </c>
      <c r="J3" s="10" t="s">
        <v>43</v>
      </c>
      <c r="K3" s="10" t="n">
        <v>1</v>
      </c>
      <c r="L3" s="10" t="s">
        <v>94</v>
      </c>
      <c r="M3" s="10" t="s">
        <v>389</v>
      </c>
      <c r="N3" s="18" t="s">
        <v>394</v>
      </c>
    </row>
    <row r="4" customFormat="false" ht="68.65" hidden="false" customHeight="false" outlineLevel="0" collapsed="false">
      <c r="A4" s="9" t="s">
        <v>399</v>
      </c>
      <c r="B4" s="9" t="s">
        <v>124</v>
      </c>
      <c r="C4" s="9" t="s">
        <v>224</v>
      </c>
      <c r="D4" s="9" t="s">
        <v>400</v>
      </c>
      <c r="E4" s="9" t="s">
        <v>401</v>
      </c>
      <c r="F4" s="9" t="s">
        <v>402</v>
      </c>
      <c r="G4" s="13" t="s">
        <v>128</v>
      </c>
      <c r="H4" s="9" t="n">
        <v>3</v>
      </c>
      <c r="I4" s="9" t="s">
        <v>393</v>
      </c>
      <c r="J4" s="9" t="s">
        <v>37</v>
      </c>
      <c r="K4" s="9" t="n">
        <v>1</v>
      </c>
      <c r="L4" s="9" t="s">
        <v>94</v>
      </c>
      <c r="M4" s="9" t="s">
        <v>389</v>
      </c>
      <c r="N4" s="18" t="s">
        <v>394</v>
      </c>
    </row>
    <row r="5" customFormat="false" ht="82.05" hidden="false" customHeight="false" outlineLevel="0" collapsed="false">
      <c r="A5" s="10" t="s">
        <v>403</v>
      </c>
      <c r="B5" s="10" t="s">
        <v>124</v>
      </c>
      <c r="C5" s="10" t="s">
        <v>224</v>
      </c>
      <c r="D5" s="10" t="s">
        <v>404</v>
      </c>
      <c r="E5" s="10" t="s">
        <v>405</v>
      </c>
      <c r="F5" s="10" t="s">
        <v>406</v>
      </c>
      <c r="G5" s="13" t="s">
        <v>128</v>
      </c>
      <c r="H5" s="10" t="n">
        <v>2</v>
      </c>
      <c r="I5" s="10" t="s">
        <v>393</v>
      </c>
      <c r="J5" s="10" t="s">
        <v>37</v>
      </c>
      <c r="K5" s="10" t="n">
        <v>1</v>
      </c>
      <c r="L5" s="10" t="s">
        <v>94</v>
      </c>
      <c r="M5" s="10" t="s">
        <v>399</v>
      </c>
      <c r="N5" s="18" t="s">
        <v>394</v>
      </c>
    </row>
    <row r="6" customFormat="false" ht="68.65" hidden="false" customHeight="false" outlineLevel="0" collapsed="false">
      <c r="A6" s="9" t="s">
        <v>407</v>
      </c>
      <c r="B6" s="9" t="s">
        <v>133</v>
      </c>
      <c r="C6" s="9" t="s">
        <v>228</v>
      </c>
      <c r="D6" s="9" t="s">
        <v>408</v>
      </c>
      <c r="E6" s="9" t="s">
        <v>409</v>
      </c>
      <c r="F6" s="9" t="s">
        <v>410</v>
      </c>
      <c r="G6" s="13" t="s">
        <v>128</v>
      </c>
      <c r="H6" s="9" t="n">
        <v>2</v>
      </c>
      <c r="I6" s="9" t="s">
        <v>393</v>
      </c>
      <c r="J6" s="9" t="s">
        <v>39</v>
      </c>
      <c r="K6" s="9" t="n">
        <v>1</v>
      </c>
      <c r="L6" s="9" t="s">
        <v>94</v>
      </c>
      <c r="M6" s="9" t="s">
        <v>389</v>
      </c>
      <c r="N6" s="18" t="s">
        <v>394</v>
      </c>
    </row>
    <row r="7" customFormat="false" ht="82.05" hidden="false" customHeight="false" outlineLevel="0" collapsed="false">
      <c r="A7" s="10" t="s">
        <v>411</v>
      </c>
      <c r="B7" s="10" t="s">
        <v>133</v>
      </c>
      <c r="C7" s="10" t="s">
        <v>231</v>
      </c>
      <c r="D7" s="10" t="s">
        <v>412</v>
      </c>
      <c r="E7" s="10" t="s">
        <v>413</v>
      </c>
      <c r="F7" s="10" t="s">
        <v>414</v>
      </c>
      <c r="G7" s="13" t="s">
        <v>128</v>
      </c>
      <c r="H7" s="10" t="n">
        <v>3</v>
      </c>
      <c r="I7" s="10" t="s">
        <v>393</v>
      </c>
      <c r="J7" s="10" t="s">
        <v>39</v>
      </c>
      <c r="K7" s="10" t="n">
        <v>1</v>
      </c>
      <c r="L7" s="10" t="s">
        <v>94</v>
      </c>
      <c r="M7" s="10" t="s">
        <v>415</v>
      </c>
      <c r="N7" s="18" t="s">
        <v>394</v>
      </c>
    </row>
    <row r="8" customFormat="false" ht="82.05" hidden="false" customHeight="false" outlineLevel="0" collapsed="false">
      <c r="A8" s="9" t="s">
        <v>416</v>
      </c>
      <c r="B8" s="9" t="s">
        <v>138</v>
      </c>
      <c r="C8" s="9" t="s">
        <v>240</v>
      </c>
      <c r="D8" s="9" t="s">
        <v>417</v>
      </c>
      <c r="E8" s="9" t="s">
        <v>418</v>
      </c>
      <c r="F8" s="9" t="s">
        <v>419</v>
      </c>
      <c r="G8" s="13" t="s">
        <v>128</v>
      </c>
      <c r="H8" s="9" t="n">
        <v>3</v>
      </c>
      <c r="I8" s="9" t="s">
        <v>393</v>
      </c>
      <c r="J8" s="9" t="s">
        <v>39</v>
      </c>
      <c r="K8" s="9" t="n">
        <v>1</v>
      </c>
      <c r="L8" s="9" t="s">
        <v>94</v>
      </c>
      <c r="M8" s="9" t="s">
        <v>389</v>
      </c>
      <c r="N8" s="18" t="s">
        <v>394</v>
      </c>
    </row>
    <row r="9" customFormat="false" ht="82.05" hidden="false" customHeight="false" outlineLevel="0" collapsed="false">
      <c r="A9" s="10" t="s">
        <v>420</v>
      </c>
      <c r="B9" s="10" t="s">
        <v>144</v>
      </c>
      <c r="C9" s="10" t="s">
        <v>257</v>
      </c>
      <c r="D9" s="10" t="s">
        <v>421</v>
      </c>
      <c r="E9" s="10" t="s">
        <v>422</v>
      </c>
      <c r="F9" s="10" t="s">
        <v>423</v>
      </c>
      <c r="G9" s="13" t="s">
        <v>128</v>
      </c>
      <c r="H9" s="10" t="n">
        <v>5</v>
      </c>
      <c r="I9" s="10" t="s">
        <v>424</v>
      </c>
      <c r="J9" s="10" t="s">
        <v>41</v>
      </c>
      <c r="K9" s="10" t="n">
        <v>1</v>
      </c>
      <c r="L9" s="10" t="s">
        <v>94</v>
      </c>
      <c r="M9" s="10" t="s">
        <v>425</v>
      </c>
      <c r="N9" s="18" t="s">
        <v>394</v>
      </c>
    </row>
    <row r="10" customFormat="false" ht="68.65" hidden="false" customHeight="false" outlineLevel="0" collapsed="false">
      <c r="A10" s="9" t="s">
        <v>426</v>
      </c>
      <c r="B10" s="9" t="s">
        <v>144</v>
      </c>
      <c r="C10" s="9" t="s">
        <v>261</v>
      </c>
      <c r="D10" s="9" t="s">
        <v>427</v>
      </c>
      <c r="E10" s="9" t="s">
        <v>428</v>
      </c>
      <c r="F10" s="9" t="s">
        <v>429</v>
      </c>
      <c r="G10" s="13" t="s">
        <v>128</v>
      </c>
      <c r="H10" s="9" t="n">
        <v>3</v>
      </c>
      <c r="I10" s="9" t="s">
        <v>424</v>
      </c>
      <c r="J10" s="9" t="s">
        <v>41</v>
      </c>
      <c r="K10" s="9" t="n">
        <v>1</v>
      </c>
      <c r="L10" s="9" t="s">
        <v>94</v>
      </c>
      <c r="M10" s="9" t="s">
        <v>420</v>
      </c>
      <c r="N10" s="18" t="s">
        <v>394</v>
      </c>
    </row>
    <row r="11" customFormat="false" ht="82.05" hidden="false" customHeight="false" outlineLevel="0" collapsed="false">
      <c r="A11" s="10" t="s">
        <v>430</v>
      </c>
      <c r="B11" s="10" t="s">
        <v>144</v>
      </c>
      <c r="C11" s="10" t="s">
        <v>264</v>
      </c>
      <c r="D11" s="10" t="s">
        <v>431</v>
      </c>
      <c r="E11" s="10" t="s">
        <v>432</v>
      </c>
      <c r="F11" s="10" t="s">
        <v>433</v>
      </c>
      <c r="G11" s="13" t="s">
        <v>128</v>
      </c>
      <c r="H11" s="10" t="n">
        <v>3</v>
      </c>
      <c r="I11" s="10" t="s">
        <v>424</v>
      </c>
      <c r="J11" s="10" t="s">
        <v>41</v>
      </c>
      <c r="K11" s="10" t="n">
        <v>1</v>
      </c>
      <c r="L11" s="10" t="s">
        <v>94</v>
      </c>
      <c r="M11" s="10" t="s">
        <v>420</v>
      </c>
      <c r="N11" s="18" t="s">
        <v>394</v>
      </c>
    </row>
    <row r="12" customFormat="false" ht="68.65" hidden="false" customHeight="false" outlineLevel="0" collapsed="false">
      <c r="A12" s="9" t="s">
        <v>434</v>
      </c>
      <c r="B12" s="9" t="s">
        <v>144</v>
      </c>
      <c r="C12" s="9" t="s">
        <v>264</v>
      </c>
      <c r="D12" s="9" t="s">
        <v>435</v>
      </c>
      <c r="E12" s="9" t="s">
        <v>436</v>
      </c>
      <c r="F12" s="9" t="s">
        <v>437</v>
      </c>
      <c r="G12" s="13" t="s">
        <v>128</v>
      </c>
      <c r="H12" s="9" t="n">
        <v>2</v>
      </c>
      <c r="I12" s="9" t="s">
        <v>424</v>
      </c>
      <c r="J12" s="9" t="s">
        <v>41</v>
      </c>
      <c r="K12" s="9" t="n">
        <v>2</v>
      </c>
      <c r="L12" s="9" t="s">
        <v>94</v>
      </c>
      <c r="M12" s="9" t="s">
        <v>420</v>
      </c>
      <c r="N12" s="18" t="s">
        <v>394</v>
      </c>
    </row>
    <row r="13" customFormat="false" ht="68.65" hidden="false" customHeight="false" outlineLevel="0" collapsed="false">
      <c r="A13" s="10" t="s">
        <v>438</v>
      </c>
      <c r="B13" s="10" t="s">
        <v>138</v>
      </c>
      <c r="C13" s="10" t="s">
        <v>243</v>
      </c>
      <c r="D13" s="10" t="s">
        <v>439</v>
      </c>
      <c r="E13" s="10" t="s">
        <v>440</v>
      </c>
      <c r="F13" s="10" t="s">
        <v>441</v>
      </c>
      <c r="G13" s="13" t="s">
        <v>128</v>
      </c>
      <c r="H13" s="10" t="n">
        <v>5</v>
      </c>
      <c r="I13" s="10" t="s">
        <v>424</v>
      </c>
      <c r="J13" s="10" t="s">
        <v>37</v>
      </c>
      <c r="K13" s="10" t="n">
        <v>2</v>
      </c>
      <c r="L13" s="10" t="s">
        <v>94</v>
      </c>
      <c r="M13" s="10" t="s">
        <v>442</v>
      </c>
      <c r="N13" s="18" t="s">
        <v>394</v>
      </c>
    </row>
    <row r="14" customFormat="false" ht="82.05" hidden="false" customHeight="false" outlineLevel="0" collapsed="false">
      <c r="A14" s="9" t="s">
        <v>443</v>
      </c>
      <c r="B14" s="9" t="s">
        <v>138</v>
      </c>
      <c r="C14" s="9" t="s">
        <v>243</v>
      </c>
      <c r="D14" s="9" t="s">
        <v>444</v>
      </c>
      <c r="E14" s="9" t="s">
        <v>445</v>
      </c>
      <c r="F14" s="9" t="s">
        <v>446</v>
      </c>
      <c r="G14" s="13" t="s">
        <v>128</v>
      </c>
      <c r="H14" s="9" t="n">
        <v>5</v>
      </c>
      <c r="I14" s="9" t="s">
        <v>424</v>
      </c>
      <c r="J14" s="9" t="s">
        <v>37</v>
      </c>
      <c r="K14" s="9" t="n">
        <v>2</v>
      </c>
      <c r="L14" s="9" t="s">
        <v>94</v>
      </c>
      <c r="M14" s="9" t="s">
        <v>438</v>
      </c>
      <c r="N14" s="18" t="s">
        <v>394</v>
      </c>
    </row>
    <row r="15" customFormat="false" ht="55.2" hidden="false" customHeight="false" outlineLevel="0" collapsed="false">
      <c r="A15" s="10" t="s">
        <v>447</v>
      </c>
      <c r="B15" s="10" t="s">
        <v>138</v>
      </c>
      <c r="C15" s="10" t="s">
        <v>243</v>
      </c>
      <c r="D15" s="10" t="s">
        <v>448</v>
      </c>
      <c r="E15" s="10" t="s">
        <v>449</v>
      </c>
      <c r="F15" s="10" t="s">
        <v>450</v>
      </c>
      <c r="G15" s="13" t="s">
        <v>128</v>
      </c>
      <c r="H15" s="10" t="n">
        <v>3</v>
      </c>
      <c r="I15" s="10" t="s">
        <v>424</v>
      </c>
      <c r="J15" s="10" t="s">
        <v>37</v>
      </c>
      <c r="K15" s="10" t="n">
        <v>2</v>
      </c>
      <c r="L15" s="10" t="s">
        <v>94</v>
      </c>
      <c r="M15" s="10" t="s">
        <v>438</v>
      </c>
      <c r="N15" s="18" t="s">
        <v>394</v>
      </c>
    </row>
    <row r="16" customFormat="false" ht="68.65" hidden="false" customHeight="false" outlineLevel="0" collapsed="false">
      <c r="A16" s="9" t="s">
        <v>451</v>
      </c>
      <c r="B16" s="9" t="s">
        <v>150</v>
      </c>
      <c r="C16" s="9" t="s">
        <v>271</v>
      </c>
      <c r="D16" s="9" t="s">
        <v>452</v>
      </c>
      <c r="E16" s="9" t="s">
        <v>453</v>
      </c>
      <c r="F16" s="9" t="s">
        <v>454</v>
      </c>
      <c r="G16" s="13" t="s">
        <v>128</v>
      </c>
      <c r="H16" s="9" t="n">
        <v>5</v>
      </c>
      <c r="I16" s="9" t="s">
        <v>455</v>
      </c>
      <c r="J16" s="9" t="s">
        <v>37</v>
      </c>
      <c r="K16" s="9" t="n">
        <v>2</v>
      </c>
      <c r="L16" s="9" t="s">
        <v>94</v>
      </c>
      <c r="M16" s="9" t="s">
        <v>456</v>
      </c>
      <c r="N16" s="18" t="s">
        <v>394</v>
      </c>
    </row>
    <row r="17" customFormat="false" ht="82.05" hidden="false" customHeight="false" outlineLevel="0" collapsed="false">
      <c r="A17" s="10" t="s">
        <v>457</v>
      </c>
      <c r="B17" s="10" t="s">
        <v>150</v>
      </c>
      <c r="C17" s="10" t="s">
        <v>271</v>
      </c>
      <c r="D17" s="10" t="s">
        <v>458</v>
      </c>
      <c r="E17" s="10" t="s">
        <v>459</v>
      </c>
      <c r="F17" s="10" t="s">
        <v>460</v>
      </c>
      <c r="G17" s="13" t="s">
        <v>128</v>
      </c>
      <c r="H17" s="10" t="n">
        <v>3</v>
      </c>
      <c r="I17" s="10" t="s">
        <v>455</v>
      </c>
      <c r="J17" s="10" t="s">
        <v>41</v>
      </c>
      <c r="K17" s="10" t="n">
        <v>2</v>
      </c>
      <c r="L17" s="10" t="s">
        <v>94</v>
      </c>
      <c r="M17" s="10" t="s">
        <v>461</v>
      </c>
      <c r="N17" s="18" t="s">
        <v>394</v>
      </c>
    </row>
    <row r="18" customFormat="false" ht="55.2" hidden="false" customHeight="false" outlineLevel="0" collapsed="false">
      <c r="A18" s="9" t="s">
        <v>462</v>
      </c>
      <c r="B18" s="9" t="s">
        <v>157</v>
      </c>
      <c r="C18" s="9" t="s">
        <v>278</v>
      </c>
      <c r="D18" s="9" t="s">
        <v>463</v>
      </c>
      <c r="E18" s="9" t="s">
        <v>464</v>
      </c>
      <c r="F18" s="9" t="s">
        <v>465</v>
      </c>
      <c r="G18" s="15" t="s">
        <v>161</v>
      </c>
      <c r="H18" s="9" t="n">
        <v>5</v>
      </c>
      <c r="I18" s="9" t="s">
        <v>455</v>
      </c>
      <c r="J18" s="9" t="s">
        <v>37</v>
      </c>
      <c r="K18" s="9" t="n">
        <v>2</v>
      </c>
      <c r="L18" s="9" t="s">
        <v>94</v>
      </c>
      <c r="M18" s="9" t="s">
        <v>466</v>
      </c>
      <c r="N18" s="18" t="s">
        <v>394</v>
      </c>
    </row>
    <row r="19" customFormat="false" ht="68.65" hidden="false" customHeight="false" outlineLevel="0" collapsed="false">
      <c r="A19" s="10" t="s">
        <v>467</v>
      </c>
      <c r="B19" s="10" t="s">
        <v>133</v>
      </c>
      <c r="C19" s="10" t="s">
        <v>237</v>
      </c>
      <c r="D19" s="10" t="s">
        <v>468</v>
      </c>
      <c r="E19" s="10" t="s">
        <v>469</v>
      </c>
      <c r="F19" s="10" t="s">
        <v>470</v>
      </c>
      <c r="G19" s="15" t="s">
        <v>161</v>
      </c>
      <c r="H19" s="10" t="n">
        <v>2</v>
      </c>
      <c r="I19" s="10" t="s">
        <v>455</v>
      </c>
      <c r="J19" s="10" t="s">
        <v>37</v>
      </c>
      <c r="K19" s="10" t="n">
        <v>2</v>
      </c>
      <c r="L19" s="10" t="s">
        <v>471</v>
      </c>
      <c r="M19" s="10" t="s">
        <v>403</v>
      </c>
      <c r="N19" s="18" t="s">
        <v>394</v>
      </c>
    </row>
    <row r="20" customFormat="false" ht="55.2" hidden="false" customHeight="false" outlineLevel="0" collapsed="false">
      <c r="A20" s="9" t="s">
        <v>472</v>
      </c>
      <c r="B20" s="9" t="s">
        <v>163</v>
      </c>
      <c r="C20" s="9" t="s">
        <v>281</v>
      </c>
      <c r="D20" s="9" t="s">
        <v>473</v>
      </c>
      <c r="E20" s="9" t="s">
        <v>474</v>
      </c>
      <c r="F20" s="9" t="s">
        <v>475</v>
      </c>
      <c r="G20" s="15" t="s">
        <v>161</v>
      </c>
      <c r="H20" s="9" t="n">
        <v>3</v>
      </c>
      <c r="I20" s="9" t="s">
        <v>455</v>
      </c>
      <c r="J20" s="9" t="s">
        <v>37</v>
      </c>
      <c r="K20" s="9" t="n">
        <v>3</v>
      </c>
      <c r="L20" s="9" t="s">
        <v>471</v>
      </c>
      <c r="M20" s="9" t="s">
        <v>467</v>
      </c>
      <c r="N20" s="14" t="s">
        <v>132</v>
      </c>
    </row>
    <row r="21" customFormat="false" ht="55.2" hidden="false" customHeight="false" outlineLevel="0" collapsed="false">
      <c r="A21" s="10" t="s">
        <v>476</v>
      </c>
      <c r="B21" s="10" t="s">
        <v>163</v>
      </c>
      <c r="C21" s="10" t="s">
        <v>284</v>
      </c>
      <c r="D21" s="10" t="s">
        <v>477</v>
      </c>
      <c r="E21" s="10" t="s">
        <v>478</v>
      </c>
      <c r="F21" s="10" t="s">
        <v>479</v>
      </c>
      <c r="G21" s="15" t="s">
        <v>161</v>
      </c>
      <c r="H21" s="10" t="n">
        <v>8</v>
      </c>
      <c r="I21" s="10" t="s">
        <v>455</v>
      </c>
      <c r="J21" s="10" t="s">
        <v>41</v>
      </c>
      <c r="K21" s="10" t="n">
        <v>3</v>
      </c>
      <c r="L21" s="10" t="s">
        <v>471</v>
      </c>
      <c r="M21" s="10" t="s">
        <v>480</v>
      </c>
      <c r="N21" s="14" t="s">
        <v>132</v>
      </c>
    </row>
    <row r="22" customFormat="false" ht="68.65" hidden="false" customHeight="false" outlineLevel="0" collapsed="false">
      <c r="A22" s="9" t="s">
        <v>481</v>
      </c>
      <c r="B22" s="9" t="s">
        <v>163</v>
      </c>
      <c r="C22" s="9" t="s">
        <v>288</v>
      </c>
      <c r="D22" s="9" t="s">
        <v>482</v>
      </c>
      <c r="E22" s="9" t="s">
        <v>483</v>
      </c>
      <c r="F22" s="9" t="s">
        <v>484</v>
      </c>
      <c r="G22" s="15" t="s">
        <v>161</v>
      </c>
      <c r="H22" s="9" t="n">
        <v>5</v>
      </c>
      <c r="I22" s="9" t="s">
        <v>455</v>
      </c>
      <c r="J22" s="9" t="s">
        <v>37</v>
      </c>
      <c r="K22" s="9" t="n">
        <v>3</v>
      </c>
      <c r="L22" s="9" t="s">
        <v>471</v>
      </c>
      <c r="M22" s="9" t="s">
        <v>485</v>
      </c>
      <c r="N22" s="14" t="s">
        <v>132</v>
      </c>
    </row>
    <row r="23" customFormat="false" ht="55.2" hidden="false" customHeight="false" outlineLevel="0" collapsed="false">
      <c r="A23" s="10" t="s">
        <v>486</v>
      </c>
      <c r="B23" s="10" t="s">
        <v>150</v>
      </c>
      <c r="C23" s="10" t="s">
        <v>275</v>
      </c>
      <c r="D23" s="10" t="s">
        <v>487</v>
      </c>
      <c r="E23" s="10" t="s">
        <v>488</v>
      </c>
      <c r="F23" s="10" t="s">
        <v>489</v>
      </c>
      <c r="G23" s="15" t="s">
        <v>161</v>
      </c>
      <c r="H23" s="10" t="n">
        <v>2</v>
      </c>
      <c r="I23" s="10" t="s">
        <v>455</v>
      </c>
      <c r="J23" s="10" t="s">
        <v>37</v>
      </c>
      <c r="K23" s="10" t="n">
        <v>3</v>
      </c>
      <c r="L23" s="10" t="s">
        <v>471</v>
      </c>
      <c r="M23" s="10" t="s">
        <v>451</v>
      </c>
      <c r="N23" s="14" t="s">
        <v>132</v>
      </c>
    </row>
    <row r="24" customFormat="false" ht="55.2" hidden="false" customHeight="false" outlineLevel="0" collapsed="false">
      <c r="A24" s="9" t="s">
        <v>490</v>
      </c>
      <c r="B24" s="9" t="s">
        <v>208</v>
      </c>
      <c r="C24" s="9" t="s">
        <v>362</v>
      </c>
      <c r="D24" s="9" t="s">
        <v>491</v>
      </c>
      <c r="E24" s="9" t="s">
        <v>492</v>
      </c>
      <c r="F24" s="9" t="s">
        <v>493</v>
      </c>
      <c r="G24" s="15" t="s">
        <v>161</v>
      </c>
      <c r="H24" s="9" t="n">
        <v>2</v>
      </c>
      <c r="I24" s="9" t="s">
        <v>455</v>
      </c>
      <c r="J24" s="9" t="s">
        <v>43</v>
      </c>
      <c r="K24" s="9" t="n">
        <v>3</v>
      </c>
      <c r="L24" s="9" t="s">
        <v>471</v>
      </c>
      <c r="M24" s="9" t="s">
        <v>494</v>
      </c>
      <c r="N24" s="14" t="s">
        <v>132</v>
      </c>
    </row>
    <row r="25" customFormat="false" ht="68.65" hidden="false" customHeight="false" outlineLevel="0" collapsed="false">
      <c r="A25" s="10" t="s">
        <v>495</v>
      </c>
      <c r="B25" s="10" t="s">
        <v>201</v>
      </c>
      <c r="C25" s="10" t="s">
        <v>353</v>
      </c>
      <c r="D25" s="10" t="s">
        <v>496</v>
      </c>
      <c r="E25" s="10" t="s">
        <v>497</v>
      </c>
      <c r="F25" s="10" t="s">
        <v>498</v>
      </c>
      <c r="G25" s="15" t="s">
        <v>161</v>
      </c>
      <c r="H25" s="10" t="n">
        <v>3</v>
      </c>
      <c r="I25" s="10" t="s">
        <v>455</v>
      </c>
      <c r="J25" s="10" t="s">
        <v>43</v>
      </c>
      <c r="K25" s="10" t="n">
        <v>3</v>
      </c>
      <c r="L25" s="10" t="s">
        <v>471</v>
      </c>
      <c r="M25" s="10" t="s">
        <v>499</v>
      </c>
      <c r="N25" s="14" t="s">
        <v>132</v>
      </c>
    </row>
    <row r="26" customFormat="false" ht="55.2" hidden="false" customHeight="false" outlineLevel="0" collapsed="false">
      <c r="A26" s="9" t="s">
        <v>500</v>
      </c>
      <c r="B26" s="9" t="s">
        <v>208</v>
      </c>
      <c r="C26" s="9" t="s">
        <v>368</v>
      </c>
      <c r="D26" s="9" t="s">
        <v>501</v>
      </c>
      <c r="E26" s="9" t="s">
        <v>502</v>
      </c>
      <c r="F26" s="9" t="s">
        <v>503</v>
      </c>
      <c r="G26" s="15" t="s">
        <v>161</v>
      </c>
      <c r="H26" s="9" t="n">
        <v>5</v>
      </c>
      <c r="I26" s="9" t="s">
        <v>455</v>
      </c>
      <c r="J26" s="9" t="s">
        <v>45</v>
      </c>
      <c r="K26" s="9" t="n">
        <v>3</v>
      </c>
      <c r="L26" s="9" t="s">
        <v>471</v>
      </c>
      <c r="M26" s="9" t="s">
        <v>504</v>
      </c>
      <c r="N26" s="14" t="s">
        <v>132</v>
      </c>
    </row>
    <row r="27" customFormat="false" ht="55.2" hidden="false" customHeight="false" outlineLevel="0" collapsed="false">
      <c r="A27" s="10" t="s">
        <v>505</v>
      </c>
      <c r="B27" s="10" t="s">
        <v>169</v>
      </c>
      <c r="C27" s="10" t="s">
        <v>291</v>
      </c>
      <c r="D27" s="10" t="s">
        <v>506</v>
      </c>
      <c r="E27" s="10" t="s">
        <v>507</v>
      </c>
      <c r="F27" s="10" t="s">
        <v>508</v>
      </c>
      <c r="G27" s="15" t="s">
        <v>161</v>
      </c>
      <c r="H27" s="10" t="n">
        <v>3</v>
      </c>
      <c r="I27" s="10" t="s">
        <v>509</v>
      </c>
      <c r="J27" s="10" t="s">
        <v>37</v>
      </c>
      <c r="K27" s="10" t="n">
        <v>4</v>
      </c>
      <c r="L27" s="10" t="s">
        <v>471</v>
      </c>
      <c r="M27" s="10" t="s">
        <v>438</v>
      </c>
      <c r="N27" s="14" t="s">
        <v>132</v>
      </c>
    </row>
    <row r="28" customFormat="false" ht="68.65" hidden="false" customHeight="false" outlineLevel="0" collapsed="false">
      <c r="A28" s="9" t="s">
        <v>510</v>
      </c>
      <c r="B28" s="9" t="s">
        <v>169</v>
      </c>
      <c r="C28" s="9" t="s">
        <v>291</v>
      </c>
      <c r="D28" s="9" t="s">
        <v>511</v>
      </c>
      <c r="E28" s="9" t="s">
        <v>512</v>
      </c>
      <c r="F28" s="9" t="s">
        <v>513</v>
      </c>
      <c r="G28" s="15" t="s">
        <v>161</v>
      </c>
      <c r="H28" s="9" t="n">
        <v>3</v>
      </c>
      <c r="I28" s="9" t="s">
        <v>509</v>
      </c>
      <c r="J28" s="9" t="s">
        <v>37</v>
      </c>
      <c r="K28" s="9" t="n">
        <v>4</v>
      </c>
      <c r="L28" s="9" t="s">
        <v>471</v>
      </c>
      <c r="M28" s="9" t="s">
        <v>514</v>
      </c>
      <c r="N28" s="14" t="s">
        <v>132</v>
      </c>
    </row>
    <row r="29" customFormat="false" ht="55.2" hidden="false" customHeight="false" outlineLevel="0" collapsed="false">
      <c r="A29" s="10" t="s">
        <v>515</v>
      </c>
      <c r="B29" s="10" t="s">
        <v>163</v>
      </c>
      <c r="C29" s="10" t="s">
        <v>288</v>
      </c>
      <c r="D29" s="10" t="s">
        <v>516</v>
      </c>
      <c r="E29" s="10" t="s">
        <v>517</v>
      </c>
      <c r="F29" s="10" t="s">
        <v>518</v>
      </c>
      <c r="G29" s="15" t="s">
        <v>161</v>
      </c>
      <c r="H29" s="10" t="n">
        <v>3</v>
      </c>
      <c r="I29" s="10" t="s">
        <v>509</v>
      </c>
      <c r="J29" s="10" t="s">
        <v>41</v>
      </c>
      <c r="K29" s="10" t="n">
        <v>4</v>
      </c>
      <c r="L29" s="10" t="s">
        <v>471</v>
      </c>
      <c r="M29" s="10" t="s">
        <v>481</v>
      </c>
      <c r="N29" s="14" t="s">
        <v>132</v>
      </c>
    </row>
    <row r="30" customFormat="false" ht="68.65" hidden="false" customHeight="false" outlineLevel="0" collapsed="false">
      <c r="A30" s="9" t="s">
        <v>519</v>
      </c>
      <c r="B30" s="9" t="s">
        <v>138</v>
      </c>
      <c r="C30" s="9" t="s">
        <v>252</v>
      </c>
      <c r="D30" s="9" t="s">
        <v>520</v>
      </c>
      <c r="E30" s="9" t="s">
        <v>521</v>
      </c>
      <c r="F30" s="9" t="s">
        <v>522</v>
      </c>
      <c r="G30" s="15" t="s">
        <v>161</v>
      </c>
      <c r="H30" s="9" t="n">
        <v>8</v>
      </c>
      <c r="I30" s="9" t="s">
        <v>509</v>
      </c>
      <c r="J30" s="9" t="s">
        <v>39</v>
      </c>
      <c r="K30" s="9" t="n">
        <v>4</v>
      </c>
      <c r="L30" s="9" t="s">
        <v>471</v>
      </c>
      <c r="M30" s="9" t="s">
        <v>523</v>
      </c>
      <c r="N30" s="14" t="s">
        <v>132</v>
      </c>
    </row>
    <row r="31" customFormat="false" ht="55.2" hidden="false" customHeight="false" outlineLevel="0" collapsed="false">
      <c r="A31" s="10" t="s">
        <v>524</v>
      </c>
      <c r="B31" s="10" t="s">
        <v>138</v>
      </c>
      <c r="C31" s="10" t="s">
        <v>246</v>
      </c>
      <c r="D31" s="10" t="s">
        <v>525</v>
      </c>
      <c r="E31" s="10" t="s">
        <v>526</v>
      </c>
      <c r="F31" s="10" t="s">
        <v>527</v>
      </c>
      <c r="G31" s="16" t="s">
        <v>192</v>
      </c>
      <c r="H31" s="10" t="n">
        <v>5</v>
      </c>
      <c r="I31" s="10" t="s">
        <v>509</v>
      </c>
      <c r="J31" s="10" t="s">
        <v>37</v>
      </c>
      <c r="K31" s="10" t="n">
        <v>4</v>
      </c>
      <c r="L31" s="10" t="s">
        <v>471</v>
      </c>
      <c r="M31" s="10" t="s">
        <v>438</v>
      </c>
      <c r="N31" s="14" t="s">
        <v>132</v>
      </c>
    </row>
    <row r="32" customFormat="false" ht="68.65" hidden="false" customHeight="false" outlineLevel="0" collapsed="false">
      <c r="A32" s="9" t="s">
        <v>528</v>
      </c>
      <c r="B32" s="9" t="s">
        <v>138</v>
      </c>
      <c r="C32" s="9" t="s">
        <v>249</v>
      </c>
      <c r="D32" s="9" t="s">
        <v>529</v>
      </c>
      <c r="E32" s="9" t="s">
        <v>530</v>
      </c>
      <c r="F32" s="9" t="s">
        <v>531</v>
      </c>
      <c r="G32" s="16" t="s">
        <v>192</v>
      </c>
      <c r="H32" s="9" t="n">
        <v>5</v>
      </c>
      <c r="I32" s="9" t="s">
        <v>509</v>
      </c>
      <c r="J32" s="9" t="s">
        <v>37</v>
      </c>
      <c r="K32" s="9" t="n">
        <v>4</v>
      </c>
      <c r="L32" s="9" t="s">
        <v>471</v>
      </c>
      <c r="M32" s="9" t="s">
        <v>438</v>
      </c>
      <c r="N32" s="14" t="s">
        <v>132</v>
      </c>
    </row>
    <row r="33" customFormat="false" ht="68.65" hidden="false" customHeight="false" outlineLevel="0" collapsed="false">
      <c r="A33" s="10" t="s">
        <v>532</v>
      </c>
      <c r="B33" s="10" t="s">
        <v>169</v>
      </c>
      <c r="C33" s="10" t="s">
        <v>294</v>
      </c>
      <c r="D33" s="10" t="s">
        <v>533</v>
      </c>
      <c r="E33" s="10" t="s">
        <v>534</v>
      </c>
      <c r="F33" s="10" t="s">
        <v>535</v>
      </c>
      <c r="G33" s="15" t="s">
        <v>161</v>
      </c>
      <c r="H33" s="10" t="n">
        <v>5</v>
      </c>
      <c r="I33" s="10" t="s">
        <v>509</v>
      </c>
      <c r="J33" s="10" t="s">
        <v>41</v>
      </c>
      <c r="K33" s="10" t="n">
        <v>5</v>
      </c>
      <c r="L33" s="10" t="s">
        <v>471</v>
      </c>
      <c r="M33" s="10" t="s">
        <v>536</v>
      </c>
      <c r="N33" s="14" t="s">
        <v>132</v>
      </c>
    </row>
    <row r="34" customFormat="false" ht="68.65" hidden="false" customHeight="false" outlineLevel="0" collapsed="false">
      <c r="A34" s="9" t="s">
        <v>537</v>
      </c>
      <c r="B34" s="9" t="s">
        <v>169</v>
      </c>
      <c r="C34" s="9" t="s">
        <v>297</v>
      </c>
      <c r="D34" s="9" t="s">
        <v>538</v>
      </c>
      <c r="E34" s="9" t="s">
        <v>539</v>
      </c>
      <c r="F34" s="9" t="s">
        <v>540</v>
      </c>
      <c r="G34" s="15" t="s">
        <v>161</v>
      </c>
      <c r="H34" s="9" t="n">
        <v>5</v>
      </c>
      <c r="I34" s="9" t="s">
        <v>509</v>
      </c>
      <c r="J34" s="9" t="s">
        <v>41</v>
      </c>
      <c r="K34" s="9" t="n">
        <v>5</v>
      </c>
      <c r="L34" s="9" t="s">
        <v>471</v>
      </c>
      <c r="M34" s="9" t="s">
        <v>541</v>
      </c>
      <c r="N34" s="14" t="s">
        <v>132</v>
      </c>
    </row>
    <row r="35" customFormat="false" ht="55.2" hidden="false" customHeight="false" outlineLevel="0" collapsed="false">
      <c r="A35" s="10" t="s">
        <v>542</v>
      </c>
      <c r="B35" s="10" t="s">
        <v>175</v>
      </c>
      <c r="C35" s="10" t="s">
        <v>301</v>
      </c>
      <c r="D35" s="10" t="s">
        <v>543</v>
      </c>
      <c r="E35" s="10" t="s">
        <v>544</v>
      </c>
      <c r="F35" s="10" t="s">
        <v>545</v>
      </c>
      <c r="G35" s="16" t="s">
        <v>192</v>
      </c>
      <c r="H35" s="10" t="n">
        <v>3</v>
      </c>
      <c r="I35" s="10" t="s">
        <v>509</v>
      </c>
      <c r="J35" s="10" t="s">
        <v>37</v>
      </c>
      <c r="K35" s="10" t="n">
        <v>5</v>
      </c>
      <c r="L35" s="10" t="s">
        <v>471</v>
      </c>
      <c r="M35" s="10" t="s">
        <v>546</v>
      </c>
      <c r="N35" s="14" t="s">
        <v>132</v>
      </c>
    </row>
    <row r="36" customFormat="false" ht="55.2" hidden="false" customHeight="false" outlineLevel="0" collapsed="false">
      <c r="A36" s="9" t="s">
        <v>547</v>
      </c>
      <c r="B36" s="9" t="s">
        <v>175</v>
      </c>
      <c r="C36" s="9" t="s">
        <v>301</v>
      </c>
      <c r="D36" s="9" t="s">
        <v>548</v>
      </c>
      <c r="E36" s="9" t="s">
        <v>549</v>
      </c>
      <c r="F36" s="9" t="s">
        <v>550</v>
      </c>
      <c r="G36" s="16" t="s">
        <v>192</v>
      </c>
      <c r="H36" s="9" t="n">
        <v>3</v>
      </c>
      <c r="I36" s="9" t="s">
        <v>509</v>
      </c>
      <c r="J36" s="9" t="s">
        <v>41</v>
      </c>
      <c r="K36" s="9" t="n">
        <v>5</v>
      </c>
      <c r="L36" s="9" t="s">
        <v>471</v>
      </c>
      <c r="M36" s="9" t="s">
        <v>551</v>
      </c>
      <c r="N36" s="14" t="s">
        <v>132</v>
      </c>
    </row>
    <row r="37" customFormat="false" ht="68.65" hidden="false" customHeight="false" outlineLevel="0" collapsed="false">
      <c r="A37" s="10" t="s">
        <v>552</v>
      </c>
      <c r="B37" s="10" t="s">
        <v>133</v>
      </c>
      <c r="C37" s="10" t="s">
        <v>234</v>
      </c>
      <c r="D37" s="10" t="s">
        <v>553</v>
      </c>
      <c r="E37" s="10" t="s">
        <v>554</v>
      </c>
      <c r="F37" s="10" t="s">
        <v>555</v>
      </c>
      <c r="G37" s="16" t="s">
        <v>192</v>
      </c>
      <c r="H37" s="10" t="n">
        <v>3</v>
      </c>
      <c r="I37" s="10" t="s">
        <v>509</v>
      </c>
      <c r="J37" s="10" t="s">
        <v>39</v>
      </c>
      <c r="K37" s="10" t="n">
        <v>5</v>
      </c>
      <c r="L37" s="10" t="s">
        <v>471</v>
      </c>
      <c r="M37" s="10" t="s">
        <v>411</v>
      </c>
      <c r="N37" s="14" t="s">
        <v>132</v>
      </c>
    </row>
    <row r="38" customFormat="false" ht="55.2" hidden="false" customHeight="false" outlineLevel="0" collapsed="false">
      <c r="A38" s="9" t="s">
        <v>556</v>
      </c>
      <c r="B38" s="9" t="s">
        <v>201</v>
      </c>
      <c r="C38" s="9" t="s">
        <v>349</v>
      </c>
      <c r="D38" s="9" t="s">
        <v>557</v>
      </c>
      <c r="E38" s="9" t="s">
        <v>558</v>
      </c>
      <c r="F38" s="9" t="s">
        <v>559</v>
      </c>
      <c r="G38" s="15" t="s">
        <v>161</v>
      </c>
      <c r="H38" s="9" t="n">
        <v>5</v>
      </c>
      <c r="I38" s="9" t="s">
        <v>509</v>
      </c>
      <c r="J38" s="9" t="s">
        <v>37</v>
      </c>
      <c r="K38" s="9" t="n">
        <v>5</v>
      </c>
      <c r="L38" s="9" t="s">
        <v>471</v>
      </c>
      <c r="M38" s="9" t="s">
        <v>560</v>
      </c>
      <c r="N38" s="14" t="s">
        <v>132</v>
      </c>
    </row>
    <row r="39" customFormat="false" ht="55.2" hidden="false" customHeight="false" outlineLevel="0" collapsed="false">
      <c r="A39" s="10" t="s">
        <v>561</v>
      </c>
      <c r="B39" s="10" t="s">
        <v>208</v>
      </c>
      <c r="C39" s="10" t="s">
        <v>365</v>
      </c>
      <c r="D39" s="10" t="s">
        <v>562</v>
      </c>
      <c r="E39" s="10" t="s">
        <v>563</v>
      </c>
      <c r="F39" s="10" t="s">
        <v>564</v>
      </c>
      <c r="G39" s="15" t="s">
        <v>161</v>
      </c>
      <c r="H39" s="10" t="n">
        <v>5</v>
      </c>
      <c r="I39" s="10" t="s">
        <v>509</v>
      </c>
      <c r="J39" s="10" t="s">
        <v>45</v>
      </c>
      <c r="K39" s="10" t="n">
        <v>5</v>
      </c>
      <c r="L39" s="10" t="s">
        <v>471</v>
      </c>
      <c r="M39" s="10" t="s">
        <v>565</v>
      </c>
      <c r="N39" s="14" t="s">
        <v>132</v>
      </c>
    </row>
    <row r="40" customFormat="false" ht="68.65" hidden="false" customHeight="false" outlineLevel="0" collapsed="false">
      <c r="A40" s="9" t="s">
        <v>566</v>
      </c>
      <c r="B40" s="9" t="s">
        <v>201</v>
      </c>
      <c r="C40" s="9" t="s">
        <v>346</v>
      </c>
      <c r="D40" s="9" t="s">
        <v>567</v>
      </c>
      <c r="E40" s="9" t="s">
        <v>568</v>
      </c>
      <c r="F40" s="9" t="s">
        <v>569</v>
      </c>
      <c r="G40" s="13" t="s">
        <v>128</v>
      </c>
      <c r="H40" s="9" t="n">
        <v>5</v>
      </c>
      <c r="I40" s="9" t="s">
        <v>509</v>
      </c>
      <c r="J40" s="9" t="s">
        <v>39</v>
      </c>
      <c r="K40" s="9" t="n">
        <v>6</v>
      </c>
      <c r="L40" s="9" t="s">
        <v>471</v>
      </c>
      <c r="M40" s="9" t="s">
        <v>570</v>
      </c>
      <c r="N40" s="14" t="s">
        <v>132</v>
      </c>
    </row>
    <row r="41" customFormat="false" ht="68.65" hidden="false" customHeight="false" outlineLevel="0" collapsed="false">
      <c r="A41" s="10" t="s">
        <v>571</v>
      </c>
      <c r="B41" s="10" t="s">
        <v>201</v>
      </c>
      <c r="C41" s="10" t="s">
        <v>346</v>
      </c>
      <c r="D41" s="10" t="s">
        <v>572</v>
      </c>
      <c r="E41" s="10" t="s">
        <v>573</v>
      </c>
      <c r="F41" s="10" t="s">
        <v>574</v>
      </c>
      <c r="G41" s="13" t="s">
        <v>128</v>
      </c>
      <c r="H41" s="10" t="n">
        <v>2</v>
      </c>
      <c r="I41" s="10" t="s">
        <v>509</v>
      </c>
      <c r="J41" s="10" t="s">
        <v>43</v>
      </c>
      <c r="K41" s="10" t="n">
        <v>6</v>
      </c>
      <c r="L41" s="10" t="s">
        <v>471</v>
      </c>
      <c r="M41" s="10" t="s">
        <v>130</v>
      </c>
      <c r="N41" s="14" t="s">
        <v>132</v>
      </c>
    </row>
    <row r="42" customFormat="false" ht="82.05" hidden="false" customHeight="false" outlineLevel="0" collapsed="false">
      <c r="A42" s="9" t="s">
        <v>575</v>
      </c>
      <c r="B42" s="9" t="s">
        <v>175</v>
      </c>
      <c r="C42" s="9" t="s">
        <v>304</v>
      </c>
      <c r="D42" s="9" t="s">
        <v>576</v>
      </c>
      <c r="E42" s="9" t="s">
        <v>577</v>
      </c>
      <c r="F42" s="9" t="s">
        <v>578</v>
      </c>
      <c r="G42" s="15" t="s">
        <v>161</v>
      </c>
      <c r="H42" s="9" t="n">
        <v>8</v>
      </c>
      <c r="I42" s="9" t="s">
        <v>579</v>
      </c>
      <c r="J42" s="9" t="s">
        <v>41</v>
      </c>
      <c r="K42" s="9" t="n">
        <v>6</v>
      </c>
      <c r="L42" s="9" t="s">
        <v>471</v>
      </c>
      <c r="M42" s="9" t="s">
        <v>580</v>
      </c>
      <c r="N42" s="14" t="s">
        <v>132</v>
      </c>
    </row>
    <row r="43" customFormat="false" ht="55.2" hidden="false" customHeight="false" outlineLevel="0" collapsed="false">
      <c r="A43" s="10" t="s">
        <v>581</v>
      </c>
      <c r="B43" s="10" t="s">
        <v>175</v>
      </c>
      <c r="C43" s="10" t="s">
        <v>308</v>
      </c>
      <c r="D43" s="10" t="s">
        <v>582</v>
      </c>
      <c r="E43" s="10" t="s">
        <v>583</v>
      </c>
      <c r="F43" s="10" t="s">
        <v>584</v>
      </c>
      <c r="G43" s="17" t="s">
        <v>270</v>
      </c>
      <c r="H43" s="10" t="n">
        <v>3</v>
      </c>
      <c r="I43" s="10" t="s">
        <v>579</v>
      </c>
      <c r="J43" s="10" t="s">
        <v>41</v>
      </c>
      <c r="K43" s="10" t="n">
        <v>6</v>
      </c>
      <c r="L43" s="10" t="s">
        <v>471</v>
      </c>
      <c r="M43" s="10" t="s">
        <v>585</v>
      </c>
      <c r="N43" s="14" t="s">
        <v>132</v>
      </c>
    </row>
    <row r="44" customFormat="false" ht="82.05" hidden="false" customHeight="false" outlineLevel="0" collapsed="false">
      <c r="A44" s="9" t="s">
        <v>586</v>
      </c>
      <c r="B44" s="9" t="s">
        <v>182</v>
      </c>
      <c r="C44" s="9" t="s">
        <v>311</v>
      </c>
      <c r="D44" s="9" t="s">
        <v>587</v>
      </c>
      <c r="E44" s="9" t="s">
        <v>588</v>
      </c>
      <c r="F44" s="9" t="s">
        <v>589</v>
      </c>
      <c r="G44" s="15" t="s">
        <v>161</v>
      </c>
      <c r="H44" s="9" t="n">
        <v>5</v>
      </c>
      <c r="I44" s="9" t="s">
        <v>579</v>
      </c>
      <c r="J44" s="9" t="s">
        <v>37</v>
      </c>
      <c r="K44" s="9" t="n">
        <v>6</v>
      </c>
      <c r="L44" s="9" t="s">
        <v>471</v>
      </c>
      <c r="M44" s="9" t="s">
        <v>590</v>
      </c>
      <c r="N44" s="14" t="s">
        <v>132</v>
      </c>
    </row>
    <row r="45" customFormat="false" ht="55.2" hidden="false" customHeight="false" outlineLevel="0" collapsed="false">
      <c r="A45" s="10" t="s">
        <v>591</v>
      </c>
      <c r="B45" s="10" t="s">
        <v>182</v>
      </c>
      <c r="C45" s="10" t="s">
        <v>314</v>
      </c>
      <c r="D45" s="10" t="s">
        <v>592</v>
      </c>
      <c r="E45" s="10" t="s">
        <v>593</v>
      </c>
      <c r="F45" s="10" t="s">
        <v>594</v>
      </c>
      <c r="G45" s="16" t="s">
        <v>192</v>
      </c>
      <c r="H45" s="10" t="n">
        <v>5</v>
      </c>
      <c r="I45" s="10" t="s">
        <v>579</v>
      </c>
      <c r="J45" s="10" t="s">
        <v>37</v>
      </c>
      <c r="K45" s="10" t="n">
        <v>6</v>
      </c>
      <c r="L45" s="10" t="s">
        <v>471</v>
      </c>
      <c r="M45" s="10" t="s">
        <v>595</v>
      </c>
      <c r="N45" s="14" t="s">
        <v>132</v>
      </c>
    </row>
    <row r="46" customFormat="false" ht="55.2" hidden="false" customHeight="false" outlineLevel="0" collapsed="false">
      <c r="A46" s="9" t="s">
        <v>596</v>
      </c>
      <c r="B46" s="9" t="s">
        <v>182</v>
      </c>
      <c r="C46" s="9" t="s">
        <v>317</v>
      </c>
      <c r="D46" s="9" t="s">
        <v>597</v>
      </c>
      <c r="E46" s="9" t="s">
        <v>598</v>
      </c>
      <c r="F46" s="9" t="s">
        <v>599</v>
      </c>
      <c r="G46" s="15" t="s">
        <v>161</v>
      </c>
      <c r="H46" s="9" t="n">
        <v>3</v>
      </c>
      <c r="I46" s="9" t="s">
        <v>579</v>
      </c>
      <c r="J46" s="9" t="s">
        <v>41</v>
      </c>
      <c r="K46" s="9" t="n">
        <v>7</v>
      </c>
      <c r="L46" s="9" t="s">
        <v>471</v>
      </c>
      <c r="M46" s="9" t="s">
        <v>600</v>
      </c>
      <c r="N46" s="14" t="s">
        <v>132</v>
      </c>
    </row>
    <row r="47" customFormat="false" ht="55.2" hidden="false" customHeight="false" outlineLevel="0" collapsed="false">
      <c r="A47" s="10" t="s">
        <v>601</v>
      </c>
      <c r="B47" s="10" t="s">
        <v>188</v>
      </c>
      <c r="C47" s="10" t="s">
        <v>321</v>
      </c>
      <c r="D47" s="10" t="s">
        <v>602</v>
      </c>
      <c r="E47" s="10" t="s">
        <v>603</v>
      </c>
      <c r="F47" s="10" t="s">
        <v>604</v>
      </c>
      <c r="G47" s="16" t="s">
        <v>192</v>
      </c>
      <c r="H47" s="10" t="n">
        <v>3</v>
      </c>
      <c r="I47" s="10" t="s">
        <v>579</v>
      </c>
      <c r="J47" s="10" t="s">
        <v>39</v>
      </c>
      <c r="K47" s="10" t="n">
        <v>7</v>
      </c>
      <c r="L47" s="10" t="s">
        <v>471</v>
      </c>
      <c r="M47" s="10" t="s">
        <v>443</v>
      </c>
      <c r="N47" s="14" t="s">
        <v>132</v>
      </c>
    </row>
    <row r="48" customFormat="false" ht="55.2" hidden="false" customHeight="false" outlineLevel="0" collapsed="false">
      <c r="A48" s="9" t="s">
        <v>605</v>
      </c>
      <c r="B48" s="9" t="s">
        <v>188</v>
      </c>
      <c r="C48" s="9" t="s">
        <v>324</v>
      </c>
      <c r="D48" s="9" t="s">
        <v>606</v>
      </c>
      <c r="E48" s="9" t="s">
        <v>607</v>
      </c>
      <c r="F48" s="9" t="s">
        <v>608</v>
      </c>
      <c r="G48" s="16" t="s">
        <v>192</v>
      </c>
      <c r="H48" s="9" t="n">
        <v>5</v>
      </c>
      <c r="I48" s="9" t="s">
        <v>579</v>
      </c>
      <c r="J48" s="9" t="s">
        <v>41</v>
      </c>
      <c r="K48" s="9" t="n">
        <v>7</v>
      </c>
      <c r="L48" s="9" t="s">
        <v>471</v>
      </c>
      <c r="M48" s="9" t="s">
        <v>609</v>
      </c>
      <c r="N48" s="14" t="s">
        <v>132</v>
      </c>
    </row>
    <row r="49" customFormat="false" ht="55.2" hidden="false" customHeight="false" outlineLevel="0" collapsed="false">
      <c r="A49" s="10" t="s">
        <v>610</v>
      </c>
      <c r="B49" s="10" t="s">
        <v>208</v>
      </c>
      <c r="C49" s="10" t="s">
        <v>371</v>
      </c>
      <c r="D49" s="10" t="s">
        <v>611</v>
      </c>
      <c r="E49" s="10" t="s">
        <v>612</v>
      </c>
      <c r="F49" s="10" t="s">
        <v>613</v>
      </c>
      <c r="G49" s="15" t="s">
        <v>161</v>
      </c>
      <c r="H49" s="10" t="n">
        <v>3</v>
      </c>
      <c r="I49" s="10" t="s">
        <v>579</v>
      </c>
      <c r="J49" s="10" t="s">
        <v>45</v>
      </c>
      <c r="K49" s="10" t="n">
        <v>7</v>
      </c>
      <c r="L49" s="10" t="s">
        <v>471</v>
      </c>
      <c r="M49" s="10" t="s">
        <v>614</v>
      </c>
      <c r="N49" s="14" t="s">
        <v>132</v>
      </c>
    </row>
    <row r="50" customFormat="false" ht="55.2" hidden="false" customHeight="false" outlineLevel="0" collapsed="false">
      <c r="A50" s="9" t="s">
        <v>615</v>
      </c>
      <c r="B50" s="9" t="s">
        <v>208</v>
      </c>
      <c r="C50" s="9" t="s">
        <v>377</v>
      </c>
      <c r="D50" s="9" t="s">
        <v>616</v>
      </c>
      <c r="E50" s="9" t="s">
        <v>617</v>
      </c>
      <c r="F50" s="9" t="s">
        <v>618</v>
      </c>
      <c r="G50" s="16" t="s">
        <v>192</v>
      </c>
      <c r="H50" s="9" t="n">
        <v>3</v>
      </c>
      <c r="I50" s="9" t="s">
        <v>579</v>
      </c>
      <c r="J50" s="9" t="s">
        <v>45</v>
      </c>
      <c r="K50" s="9" t="n">
        <v>7</v>
      </c>
      <c r="L50" s="9" t="s">
        <v>471</v>
      </c>
      <c r="M50" s="9" t="s">
        <v>443</v>
      </c>
      <c r="N50" s="14" t="s">
        <v>132</v>
      </c>
    </row>
    <row r="51" customFormat="false" ht="68.65" hidden="false" customHeight="false" outlineLevel="0" collapsed="false">
      <c r="A51" s="10" t="s">
        <v>619</v>
      </c>
      <c r="B51" s="10" t="s">
        <v>201</v>
      </c>
      <c r="C51" s="10" t="s">
        <v>353</v>
      </c>
      <c r="D51" s="10" t="s">
        <v>620</v>
      </c>
      <c r="E51" s="10" t="s">
        <v>621</v>
      </c>
      <c r="F51" s="10" t="s">
        <v>622</v>
      </c>
      <c r="G51" s="13" t="s">
        <v>128</v>
      </c>
      <c r="H51" s="10" t="n">
        <v>5</v>
      </c>
      <c r="I51" s="10" t="s">
        <v>579</v>
      </c>
      <c r="J51" s="10" t="s">
        <v>43</v>
      </c>
      <c r="K51" s="10" t="n">
        <v>7</v>
      </c>
      <c r="L51" s="10" t="s">
        <v>471</v>
      </c>
      <c r="M51" s="10" t="s">
        <v>623</v>
      </c>
      <c r="N51" s="14" t="s">
        <v>132</v>
      </c>
    </row>
    <row r="52" customFormat="false" ht="55.2" hidden="false" customHeight="false" outlineLevel="0" collapsed="false">
      <c r="A52" s="9" t="s">
        <v>624</v>
      </c>
      <c r="B52" s="9" t="s">
        <v>208</v>
      </c>
      <c r="C52" s="9" t="s">
        <v>374</v>
      </c>
      <c r="D52" s="9" t="s">
        <v>625</v>
      </c>
      <c r="E52" s="9" t="s">
        <v>626</v>
      </c>
      <c r="F52" s="9" t="s">
        <v>627</v>
      </c>
      <c r="G52" s="16" t="s">
        <v>192</v>
      </c>
      <c r="H52" s="9" t="n">
        <v>3</v>
      </c>
      <c r="I52" s="9" t="s">
        <v>579</v>
      </c>
      <c r="J52" s="9" t="s">
        <v>43</v>
      </c>
      <c r="K52" s="9" t="n">
        <v>7</v>
      </c>
      <c r="L52" s="9" t="s">
        <v>471</v>
      </c>
      <c r="M52" s="9" t="s">
        <v>628</v>
      </c>
      <c r="N52" s="14" t="s">
        <v>132</v>
      </c>
    </row>
    <row r="53" customFormat="false" ht="55.2" hidden="false" customHeight="false" outlineLevel="0" collapsed="false">
      <c r="A53" s="10" t="s">
        <v>629</v>
      </c>
      <c r="B53" s="10" t="s">
        <v>208</v>
      </c>
      <c r="C53" s="10" t="s">
        <v>371</v>
      </c>
      <c r="D53" s="10" t="s">
        <v>630</v>
      </c>
      <c r="E53" s="10" t="s">
        <v>631</v>
      </c>
      <c r="F53" s="10" t="s">
        <v>632</v>
      </c>
      <c r="G53" s="17" t="s">
        <v>270</v>
      </c>
      <c r="H53" s="10" t="n">
        <v>3</v>
      </c>
      <c r="I53" s="10" t="s">
        <v>579</v>
      </c>
      <c r="J53" s="10" t="s">
        <v>37</v>
      </c>
      <c r="K53" s="10" t="n">
        <v>7</v>
      </c>
      <c r="L53" s="10" t="s">
        <v>471</v>
      </c>
      <c r="M53" s="10" t="s">
        <v>628</v>
      </c>
      <c r="N53" s="14" t="s">
        <v>132</v>
      </c>
    </row>
    <row r="54" customFormat="false" ht="55.2" hidden="false" customHeight="false" outlineLevel="0" collapsed="false">
      <c r="A54" s="9" t="s">
        <v>633</v>
      </c>
      <c r="B54" s="9" t="s">
        <v>138</v>
      </c>
      <c r="C54" s="9" t="s">
        <v>246</v>
      </c>
      <c r="D54" s="9" t="s">
        <v>634</v>
      </c>
      <c r="E54" s="9" t="s">
        <v>635</v>
      </c>
      <c r="F54" s="9" t="s">
        <v>636</v>
      </c>
      <c r="G54" s="16" t="s">
        <v>192</v>
      </c>
      <c r="H54" s="9" t="n">
        <v>3</v>
      </c>
      <c r="I54" s="9" t="s">
        <v>637</v>
      </c>
      <c r="J54" s="9" t="s">
        <v>39</v>
      </c>
      <c r="K54" s="9" t="n">
        <v>8</v>
      </c>
      <c r="L54" s="9" t="s">
        <v>638</v>
      </c>
      <c r="M54" s="9" t="s">
        <v>524</v>
      </c>
      <c r="N54" s="14" t="s">
        <v>132</v>
      </c>
    </row>
    <row r="55" customFormat="false" ht="55.2" hidden="false" customHeight="false" outlineLevel="0" collapsed="false">
      <c r="A55" s="10" t="s">
        <v>639</v>
      </c>
      <c r="B55" s="10" t="s">
        <v>194</v>
      </c>
      <c r="C55" s="10" t="s">
        <v>328</v>
      </c>
      <c r="D55" s="10" t="s">
        <v>640</v>
      </c>
      <c r="E55" s="10" t="s">
        <v>641</v>
      </c>
      <c r="F55" s="10" t="s">
        <v>642</v>
      </c>
      <c r="G55" s="15" t="s">
        <v>161</v>
      </c>
      <c r="H55" s="10" t="n">
        <v>5</v>
      </c>
      <c r="I55" s="10" t="s">
        <v>637</v>
      </c>
      <c r="J55" s="10" t="s">
        <v>39</v>
      </c>
      <c r="K55" s="10" t="n">
        <v>8</v>
      </c>
      <c r="L55" s="10" t="s">
        <v>638</v>
      </c>
      <c r="M55" s="10" t="s">
        <v>570</v>
      </c>
      <c r="N55" s="14" t="s">
        <v>132</v>
      </c>
    </row>
    <row r="56" customFormat="false" ht="68.65" hidden="false" customHeight="false" outlineLevel="0" collapsed="false">
      <c r="A56" s="9" t="s">
        <v>643</v>
      </c>
      <c r="B56" s="9" t="s">
        <v>194</v>
      </c>
      <c r="C56" s="9" t="s">
        <v>338</v>
      </c>
      <c r="D56" s="9" t="s">
        <v>644</v>
      </c>
      <c r="E56" s="9" t="s">
        <v>645</v>
      </c>
      <c r="F56" s="9" t="s">
        <v>646</v>
      </c>
      <c r="G56" s="15" t="s">
        <v>161</v>
      </c>
      <c r="H56" s="9" t="n">
        <v>5</v>
      </c>
      <c r="I56" s="9" t="s">
        <v>637</v>
      </c>
      <c r="J56" s="9" t="s">
        <v>41</v>
      </c>
      <c r="K56" s="9" t="n">
        <v>8</v>
      </c>
      <c r="L56" s="9" t="s">
        <v>638</v>
      </c>
      <c r="M56" s="9" t="s">
        <v>647</v>
      </c>
      <c r="N56" s="14" t="s">
        <v>132</v>
      </c>
    </row>
    <row r="57" customFormat="false" ht="55.2" hidden="false" customHeight="false" outlineLevel="0" collapsed="false">
      <c r="A57" s="10" t="s">
        <v>648</v>
      </c>
      <c r="B57" s="10" t="s">
        <v>194</v>
      </c>
      <c r="C57" s="10" t="s">
        <v>328</v>
      </c>
      <c r="D57" s="10" t="s">
        <v>649</v>
      </c>
      <c r="E57" s="10" t="s">
        <v>650</v>
      </c>
      <c r="F57" s="10" t="s">
        <v>651</v>
      </c>
      <c r="G57" s="15" t="s">
        <v>161</v>
      </c>
      <c r="H57" s="10" t="n">
        <v>5</v>
      </c>
      <c r="I57" s="10" t="s">
        <v>637</v>
      </c>
      <c r="J57" s="10" t="s">
        <v>39</v>
      </c>
      <c r="K57" s="10" t="n">
        <v>8</v>
      </c>
      <c r="L57" s="10" t="s">
        <v>638</v>
      </c>
      <c r="M57" s="10" t="s">
        <v>639</v>
      </c>
      <c r="N57" s="14" t="s">
        <v>132</v>
      </c>
    </row>
    <row r="58" customFormat="false" ht="68.65" hidden="false" customHeight="false" outlineLevel="0" collapsed="false">
      <c r="A58" s="9" t="s">
        <v>652</v>
      </c>
      <c r="B58" s="9" t="s">
        <v>194</v>
      </c>
      <c r="C58" s="9" t="s">
        <v>331</v>
      </c>
      <c r="D58" s="9" t="s">
        <v>653</v>
      </c>
      <c r="E58" s="9" t="s">
        <v>654</v>
      </c>
      <c r="F58" s="9" t="s">
        <v>655</v>
      </c>
      <c r="G58" s="15" t="s">
        <v>161</v>
      </c>
      <c r="H58" s="9" t="n">
        <v>8</v>
      </c>
      <c r="I58" s="9" t="s">
        <v>637</v>
      </c>
      <c r="J58" s="9" t="s">
        <v>39</v>
      </c>
      <c r="K58" s="9" t="n">
        <v>8</v>
      </c>
      <c r="L58" s="9" t="s">
        <v>638</v>
      </c>
      <c r="M58" s="9" t="s">
        <v>656</v>
      </c>
      <c r="N58" s="14" t="s">
        <v>132</v>
      </c>
    </row>
    <row r="59" customFormat="false" ht="68.65" hidden="false" customHeight="false" outlineLevel="0" collapsed="false">
      <c r="A59" s="10" t="s">
        <v>657</v>
      </c>
      <c r="B59" s="10" t="s">
        <v>194</v>
      </c>
      <c r="C59" s="10" t="s">
        <v>331</v>
      </c>
      <c r="D59" s="10" t="s">
        <v>658</v>
      </c>
      <c r="E59" s="10" t="s">
        <v>659</v>
      </c>
      <c r="F59" s="10" t="s">
        <v>660</v>
      </c>
      <c r="G59" s="16" t="s">
        <v>192</v>
      </c>
      <c r="H59" s="10" t="n">
        <v>5</v>
      </c>
      <c r="I59" s="10" t="s">
        <v>637</v>
      </c>
      <c r="J59" s="10" t="s">
        <v>37</v>
      </c>
      <c r="K59" s="10" t="n">
        <v>9</v>
      </c>
      <c r="L59" s="10" t="s">
        <v>638</v>
      </c>
      <c r="M59" s="10" t="s">
        <v>652</v>
      </c>
      <c r="N59" s="14" t="s">
        <v>132</v>
      </c>
    </row>
    <row r="60" customFormat="false" ht="55.2" hidden="false" customHeight="false" outlineLevel="0" collapsed="false">
      <c r="A60" s="9" t="s">
        <v>661</v>
      </c>
      <c r="B60" s="9" t="s">
        <v>194</v>
      </c>
      <c r="C60" s="9" t="s">
        <v>331</v>
      </c>
      <c r="D60" s="9" t="s">
        <v>662</v>
      </c>
      <c r="E60" s="9" t="s">
        <v>663</v>
      </c>
      <c r="F60" s="9" t="s">
        <v>664</v>
      </c>
      <c r="G60" s="16" t="s">
        <v>192</v>
      </c>
      <c r="H60" s="9" t="n">
        <v>3</v>
      </c>
      <c r="I60" s="9" t="s">
        <v>637</v>
      </c>
      <c r="J60" s="9" t="s">
        <v>41</v>
      </c>
      <c r="K60" s="9" t="n">
        <v>9</v>
      </c>
      <c r="L60" s="9" t="s">
        <v>638</v>
      </c>
      <c r="M60" s="9" t="s">
        <v>665</v>
      </c>
      <c r="N60" s="14" t="s">
        <v>132</v>
      </c>
    </row>
    <row r="61" customFormat="false" ht="68.65" hidden="false" customHeight="false" outlineLevel="0" collapsed="false">
      <c r="A61" s="10" t="s">
        <v>666</v>
      </c>
      <c r="B61" s="10" t="s">
        <v>194</v>
      </c>
      <c r="C61" s="10" t="s">
        <v>334</v>
      </c>
      <c r="D61" s="10" t="s">
        <v>667</v>
      </c>
      <c r="E61" s="10" t="s">
        <v>668</v>
      </c>
      <c r="F61" s="10" t="s">
        <v>669</v>
      </c>
      <c r="G61" s="15" t="s">
        <v>161</v>
      </c>
      <c r="H61" s="10" t="n">
        <v>8</v>
      </c>
      <c r="I61" s="10" t="s">
        <v>637</v>
      </c>
      <c r="J61" s="10" t="s">
        <v>41</v>
      </c>
      <c r="K61" s="10" t="n">
        <v>9</v>
      </c>
      <c r="L61" s="10" t="s">
        <v>638</v>
      </c>
      <c r="M61" s="10" t="s">
        <v>670</v>
      </c>
      <c r="N61" s="14" t="s">
        <v>132</v>
      </c>
    </row>
    <row r="62" customFormat="false" ht="55.2" hidden="false" customHeight="false" outlineLevel="0" collapsed="false">
      <c r="A62" s="9" t="s">
        <v>671</v>
      </c>
      <c r="B62" s="9" t="s">
        <v>194</v>
      </c>
      <c r="C62" s="9" t="s">
        <v>338</v>
      </c>
      <c r="D62" s="9" t="s">
        <v>672</v>
      </c>
      <c r="E62" s="9" t="s">
        <v>673</v>
      </c>
      <c r="F62" s="9" t="s">
        <v>674</v>
      </c>
      <c r="G62" s="15" t="s">
        <v>161</v>
      </c>
      <c r="H62" s="9" t="n">
        <v>3</v>
      </c>
      <c r="I62" s="9" t="s">
        <v>637</v>
      </c>
      <c r="J62" s="9" t="s">
        <v>39</v>
      </c>
      <c r="K62" s="9" t="n">
        <v>9</v>
      </c>
      <c r="L62" s="9" t="s">
        <v>638</v>
      </c>
      <c r="M62" s="9" t="s">
        <v>675</v>
      </c>
      <c r="N62" s="14" t="s">
        <v>132</v>
      </c>
    </row>
    <row r="63" customFormat="false" ht="55.2" hidden="false" customHeight="false" outlineLevel="0" collapsed="false">
      <c r="A63" s="10" t="s">
        <v>676</v>
      </c>
      <c r="B63" s="10" t="s">
        <v>194</v>
      </c>
      <c r="C63" s="10" t="s">
        <v>334</v>
      </c>
      <c r="D63" s="10" t="s">
        <v>677</v>
      </c>
      <c r="E63" s="10" t="s">
        <v>678</v>
      </c>
      <c r="F63" s="10" t="s">
        <v>679</v>
      </c>
      <c r="G63" s="16" t="s">
        <v>192</v>
      </c>
      <c r="H63" s="10" t="n">
        <v>5</v>
      </c>
      <c r="I63" s="10" t="s">
        <v>637</v>
      </c>
      <c r="J63" s="10" t="s">
        <v>41</v>
      </c>
      <c r="K63" s="10" t="n">
        <v>9</v>
      </c>
      <c r="L63" s="10" t="s">
        <v>638</v>
      </c>
      <c r="M63" s="10" t="s">
        <v>680</v>
      </c>
      <c r="N63" s="14" t="s">
        <v>132</v>
      </c>
    </row>
    <row r="64" customFormat="false" ht="68.65" hidden="false" customHeight="false" outlineLevel="0" collapsed="false">
      <c r="A64" s="9" t="s">
        <v>681</v>
      </c>
      <c r="B64" s="9" t="s">
        <v>201</v>
      </c>
      <c r="C64" s="9" t="s">
        <v>342</v>
      </c>
      <c r="D64" s="9" t="s">
        <v>682</v>
      </c>
      <c r="E64" s="9" t="s">
        <v>683</v>
      </c>
      <c r="F64" s="9" t="s">
        <v>684</v>
      </c>
      <c r="G64" s="16" t="s">
        <v>192</v>
      </c>
      <c r="H64" s="9" t="n">
        <v>8</v>
      </c>
      <c r="I64" s="9" t="s">
        <v>637</v>
      </c>
      <c r="J64" s="9" t="s">
        <v>39</v>
      </c>
      <c r="K64" s="9" t="n">
        <v>10</v>
      </c>
      <c r="L64" s="9" t="s">
        <v>638</v>
      </c>
      <c r="M64" s="9" t="s">
        <v>685</v>
      </c>
      <c r="N64" s="14" t="s">
        <v>132</v>
      </c>
    </row>
    <row r="65" customFormat="false" ht="55.2" hidden="false" customHeight="false" outlineLevel="0" collapsed="false">
      <c r="A65" s="10" t="s">
        <v>686</v>
      </c>
      <c r="B65" s="10" t="s">
        <v>201</v>
      </c>
      <c r="C65" s="10" t="s">
        <v>342</v>
      </c>
      <c r="D65" s="10" t="s">
        <v>687</v>
      </c>
      <c r="E65" s="10" t="s">
        <v>688</v>
      </c>
      <c r="F65" s="10" t="s">
        <v>689</v>
      </c>
      <c r="G65" s="16" t="s">
        <v>192</v>
      </c>
      <c r="H65" s="10" t="n">
        <v>3</v>
      </c>
      <c r="I65" s="10" t="s">
        <v>637</v>
      </c>
      <c r="J65" s="10" t="s">
        <v>41</v>
      </c>
      <c r="K65" s="10" t="n">
        <v>10</v>
      </c>
      <c r="L65" s="10" t="s">
        <v>638</v>
      </c>
      <c r="M65" s="10" t="s">
        <v>690</v>
      </c>
      <c r="N65" s="14" t="s">
        <v>132</v>
      </c>
    </row>
    <row r="66" customFormat="false" ht="55.2" hidden="false" customHeight="false" outlineLevel="0" collapsed="false">
      <c r="A66" s="9" t="s">
        <v>691</v>
      </c>
      <c r="B66" s="9" t="s">
        <v>201</v>
      </c>
      <c r="C66" s="9" t="s">
        <v>356</v>
      </c>
      <c r="D66" s="9" t="s">
        <v>692</v>
      </c>
      <c r="E66" s="9" t="s">
        <v>693</v>
      </c>
      <c r="F66" s="9" t="s">
        <v>694</v>
      </c>
      <c r="G66" s="17" t="s">
        <v>270</v>
      </c>
      <c r="H66" s="9" t="n">
        <v>5</v>
      </c>
      <c r="I66" s="9" t="s">
        <v>637</v>
      </c>
      <c r="J66" s="9" t="s">
        <v>37</v>
      </c>
      <c r="K66" s="9" t="n">
        <v>10</v>
      </c>
      <c r="L66" s="9" t="s">
        <v>638</v>
      </c>
      <c r="M66" s="9" t="s">
        <v>695</v>
      </c>
      <c r="N66" s="14" t="s">
        <v>132</v>
      </c>
    </row>
    <row r="67" customFormat="false" ht="55.2" hidden="false" customHeight="false" outlineLevel="0" collapsed="false">
      <c r="A67" s="10" t="s">
        <v>696</v>
      </c>
      <c r="B67" s="10" t="s">
        <v>201</v>
      </c>
      <c r="C67" s="10" t="s">
        <v>359</v>
      </c>
      <c r="D67" s="10" t="s">
        <v>697</v>
      </c>
      <c r="E67" s="10" t="s">
        <v>698</v>
      </c>
      <c r="F67" s="10" t="s">
        <v>699</v>
      </c>
      <c r="G67" s="17" t="s">
        <v>270</v>
      </c>
      <c r="H67" s="10" t="n">
        <v>5</v>
      </c>
      <c r="I67" s="10" t="s">
        <v>637</v>
      </c>
      <c r="J67" s="10" t="s">
        <v>37</v>
      </c>
      <c r="K67" s="10" t="n">
        <v>10</v>
      </c>
      <c r="L67" s="10" t="s">
        <v>638</v>
      </c>
      <c r="M67" s="10" t="s">
        <v>700</v>
      </c>
      <c r="N67" s="14" t="s">
        <v>132</v>
      </c>
    </row>
    <row r="68" customFormat="false" ht="68.65" hidden="false" customHeight="false" outlineLevel="0" collapsed="false">
      <c r="A68" s="9" t="s">
        <v>701</v>
      </c>
      <c r="B68" s="9" t="s">
        <v>144</v>
      </c>
      <c r="C68" s="9" t="s">
        <v>267</v>
      </c>
      <c r="D68" s="9" t="s">
        <v>702</v>
      </c>
      <c r="E68" s="9" t="s">
        <v>703</v>
      </c>
      <c r="F68" s="9" t="s">
        <v>704</v>
      </c>
      <c r="G68" s="17" t="s">
        <v>270</v>
      </c>
      <c r="H68" s="9" t="n">
        <v>8</v>
      </c>
      <c r="I68" s="9" t="s">
        <v>637</v>
      </c>
      <c r="J68" s="9" t="s">
        <v>41</v>
      </c>
      <c r="K68" s="9" t="n">
        <v>10</v>
      </c>
      <c r="L68" s="9" t="s">
        <v>638</v>
      </c>
      <c r="M68" s="9" t="s">
        <v>705</v>
      </c>
      <c r="N68" s="14" t="s">
        <v>132</v>
      </c>
    </row>
    <row r="70" customFormat="false" ht="15" hidden="false" customHeight="false" outlineLevel="0" collapsed="false">
      <c r="G70" s="19" t="s">
        <v>706</v>
      </c>
      <c r="H70" s="19" t="n">
        <f aca="false">SUM(H2:H68)</f>
        <v>279</v>
      </c>
    </row>
  </sheetData>
  <autoFilter ref="A1:N6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2"/>
    <col collapsed="false" customWidth="true" hidden="false" outlineLevel="0" max="4" min="4" style="0" width="56"/>
    <col collapsed="false" customWidth="true" hidden="false" outlineLevel="0" max="5" min="5" style="0" width="46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40"/>
    <col collapsed="false" customWidth="true" hidden="false" outlineLevel="0" max="10" min="10" style="0" width="52"/>
  </cols>
  <sheetData>
    <row r="1" customFormat="false" ht="30" hidden="false" customHeight="true" outlineLevel="0" collapsed="false">
      <c r="A1" s="8" t="s">
        <v>707</v>
      </c>
      <c r="B1" s="8" t="s">
        <v>87</v>
      </c>
      <c r="C1" s="8" t="s">
        <v>88</v>
      </c>
      <c r="D1" s="8" t="s">
        <v>89</v>
      </c>
      <c r="E1" s="8" t="s">
        <v>122</v>
      </c>
      <c r="F1" s="8" t="s">
        <v>708</v>
      </c>
      <c r="G1" s="8" t="s">
        <v>709</v>
      </c>
      <c r="H1" s="8" t="s">
        <v>710</v>
      </c>
      <c r="I1" s="8" t="s">
        <v>711</v>
      </c>
      <c r="J1" s="8" t="s">
        <v>712</v>
      </c>
    </row>
    <row r="2" customFormat="false" ht="41.75" hidden="false" customHeight="false" outlineLevel="0" collapsed="false">
      <c r="A2" s="9" t="n">
        <v>1</v>
      </c>
      <c r="B2" s="11" t="n">
        <v>46328</v>
      </c>
      <c r="C2" s="11" t="n">
        <v>46332</v>
      </c>
      <c r="D2" s="9" t="s">
        <v>713</v>
      </c>
      <c r="E2" s="9" t="s">
        <v>714</v>
      </c>
      <c r="F2" s="9" t="n">
        <f aca="false">SUMIFS('Product Backlog'!H2:H68,'Product Backlog'!K2:K68,A2)</f>
        <v>30</v>
      </c>
      <c r="G2" s="20" t="n">
        <v>30</v>
      </c>
      <c r="H2" s="21" t="n">
        <f aca="false">F2/G2</f>
        <v>1</v>
      </c>
      <c r="I2" s="9" t="s">
        <v>130</v>
      </c>
      <c r="J2" s="9" t="s">
        <v>715</v>
      </c>
    </row>
    <row r="3" customFormat="false" ht="41.75" hidden="false" customHeight="false" outlineLevel="0" collapsed="false">
      <c r="A3" s="10" t="n">
        <v>2</v>
      </c>
      <c r="B3" s="12" t="n">
        <v>46335</v>
      </c>
      <c r="C3" s="12" t="n">
        <v>46339</v>
      </c>
      <c r="D3" s="10" t="s">
        <v>716</v>
      </c>
      <c r="E3" s="10" t="s">
        <v>717</v>
      </c>
      <c r="F3" s="10" t="n">
        <f aca="false">SUMIFS('Product Backlog'!H2:H68,'Product Backlog'!K2:K68,A3)</f>
        <v>30</v>
      </c>
      <c r="G3" s="22" t="n">
        <v>30</v>
      </c>
      <c r="H3" s="23" t="n">
        <f aca="false">F3/G3</f>
        <v>1</v>
      </c>
      <c r="I3" s="10" t="s">
        <v>718</v>
      </c>
      <c r="J3" s="10" t="s">
        <v>719</v>
      </c>
    </row>
    <row r="4" customFormat="false" ht="28.35" hidden="false" customHeight="false" outlineLevel="0" collapsed="false">
      <c r="A4" s="9" t="n">
        <v>3</v>
      </c>
      <c r="B4" s="11" t="n">
        <v>46342</v>
      </c>
      <c r="C4" s="11" t="n">
        <v>46346</v>
      </c>
      <c r="D4" s="9" t="s">
        <v>720</v>
      </c>
      <c r="E4" s="9" t="s">
        <v>721</v>
      </c>
      <c r="F4" s="9" t="n">
        <f aca="false">SUMIFS('Product Backlog'!H2:H68,'Product Backlog'!K2:K68,A4)</f>
        <v>28</v>
      </c>
      <c r="G4" s="20" t="n">
        <v>30</v>
      </c>
      <c r="H4" s="21" t="n">
        <f aca="false">F4/G4</f>
        <v>0.933333333333333</v>
      </c>
      <c r="I4" s="9" t="s">
        <v>722</v>
      </c>
      <c r="J4" s="9" t="s">
        <v>723</v>
      </c>
    </row>
    <row r="5" customFormat="false" ht="28.35" hidden="false" customHeight="false" outlineLevel="0" collapsed="false">
      <c r="A5" s="10" t="n">
        <v>4</v>
      </c>
      <c r="B5" s="12" t="n">
        <v>46349</v>
      </c>
      <c r="C5" s="12" t="n">
        <v>46353</v>
      </c>
      <c r="D5" s="10" t="s">
        <v>724</v>
      </c>
      <c r="E5" s="10" t="s">
        <v>725</v>
      </c>
      <c r="F5" s="10" t="n">
        <f aca="false">SUMIFS('Product Backlog'!H2:H68,'Product Backlog'!K2:K68,A5)</f>
        <v>27</v>
      </c>
      <c r="G5" s="22" t="n">
        <v>30</v>
      </c>
      <c r="H5" s="23" t="n">
        <f aca="false">F5/G5</f>
        <v>0.9</v>
      </c>
      <c r="I5" s="10" t="s">
        <v>726</v>
      </c>
      <c r="J5" s="10" t="s">
        <v>727</v>
      </c>
    </row>
    <row r="6" customFormat="false" ht="41.75" hidden="false" customHeight="false" outlineLevel="0" collapsed="false">
      <c r="A6" s="9" t="n">
        <v>5</v>
      </c>
      <c r="B6" s="11" t="n">
        <v>46356</v>
      </c>
      <c r="C6" s="11" t="n">
        <v>46360</v>
      </c>
      <c r="D6" s="9" t="s">
        <v>728</v>
      </c>
      <c r="E6" s="9" t="s">
        <v>729</v>
      </c>
      <c r="F6" s="9" t="n">
        <f aca="false">SUMIFS('Product Backlog'!H2:H68,'Product Backlog'!K2:K68,A6)</f>
        <v>29</v>
      </c>
      <c r="G6" s="20" t="n">
        <v>30</v>
      </c>
      <c r="H6" s="21" t="n">
        <f aca="false">F6/G6</f>
        <v>0.966666666666667</v>
      </c>
      <c r="I6" s="9" t="s">
        <v>730</v>
      </c>
      <c r="J6" s="9" t="s">
        <v>731</v>
      </c>
    </row>
    <row r="7" customFormat="false" ht="28.35" hidden="false" customHeight="false" outlineLevel="0" collapsed="false">
      <c r="A7" s="10" t="n">
        <v>6</v>
      </c>
      <c r="B7" s="12" t="n">
        <v>46363</v>
      </c>
      <c r="C7" s="12" t="n">
        <v>46367</v>
      </c>
      <c r="D7" s="10" t="s">
        <v>732</v>
      </c>
      <c r="E7" s="10" t="s">
        <v>733</v>
      </c>
      <c r="F7" s="10" t="n">
        <f aca="false">SUMIFS('Product Backlog'!H2:H68,'Product Backlog'!K2:K68,A7)</f>
        <v>28</v>
      </c>
      <c r="G7" s="22" t="n">
        <v>30</v>
      </c>
      <c r="H7" s="23" t="n">
        <f aca="false">F7/G7</f>
        <v>0.933333333333333</v>
      </c>
      <c r="I7" s="10" t="s">
        <v>734</v>
      </c>
      <c r="J7" s="10" t="s">
        <v>735</v>
      </c>
    </row>
    <row r="8" customFormat="false" ht="41.75" hidden="false" customHeight="false" outlineLevel="0" collapsed="false">
      <c r="A8" s="9" t="n">
        <v>7</v>
      </c>
      <c r="B8" s="11" t="n">
        <v>46370</v>
      </c>
      <c r="C8" s="11" t="n">
        <v>46374</v>
      </c>
      <c r="D8" s="9" t="s">
        <v>736</v>
      </c>
      <c r="E8" s="9" t="s">
        <v>737</v>
      </c>
      <c r="F8" s="9" t="n">
        <f aca="false">SUMIFS('Product Backlog'!H2:H68,'Product Backlog'!K2:K68,A8)</f>
        <v>28</v>
      </c>
      <c r="G8" s="20" t="n">
        <v>30</v>
      </c>
      <c r="H8" s="21" t="n">
        <f aca="false">F8/G8</f>
        <v>0.933333333333333</v>
      </c>
      <c r="I8" s="9" t="s">
        <v>738</v>
      </c>
      <c r="J8" s="9" t="s">
        <v>739</v>
      </c>
    </row>
    <row r="9" customFormat="false" ht="28.35" hidden="false" customHeight="false" outlineLevel="0" collapsed="false">
      <c r="A9" s="10" t="n">
        <v>8</v>
      </c>
      <c r="B9" s="12" t="n">
        <v>46377</v>
      </c>
      <c r="C9" s="12" t="n">
        <v>46381</v>
      </c>
      <c r="D9" s="10" t="s">
        <v>740</v>
      </c>
      <c r="E9" s="10" t="s">
        <v>741</v>
      </c>
      <c r="F9" s="10" t="n">
        <f aca="false">SUMIFS('Product Backlog'!H2:H68,'Product Backlog'!K2:K68,A9)</f>
        <v>26</v>
      </c>
      <c r="G9" s="22" t="n">
        <v>30</v>
      </c>
      <c r="H9" s="23" t="n">
        <f aca="false">F9/G9</f>
        <v>0.866666666666667</v>
      </c>
      <c r="I9" s="10" t="s">
        <v>742</v>
      </c>
      <c r="J9" s="10" t="s">
        <v>743</v>
      </c>
    </row>
    <row r="10" customFormat="false" ht="28.35" hidden="false" customHeight="false" outlineLevel="0" collapsed="false">
      <c r="A10" s="9" t="n">
        <v>9</v>
      </c>
      <c r="B10" s="11" t="n">
        <v>46384</v>
      </c>
      <c r="C10" s="11" t="n">
        <v>46388</v>
      </c>
      <c r="D10" s="9" t="s">
        <v>744</v>
      </c>
      <c r="E10" s="9" t="s">
        <v>745</v>
      </c>
      <c r="F10" s="9" t="n">
        <f aca="false">SUMIFS('Product Backlog'!H2:H68,'Product Backlog'!K2:K68,A10)</f>
        <v>24</v>
      </c>
      <c r="G10" s="20" t="n">
        <v>30</v>
      </c>
      <c r="H10" s="21" t="n">
        <f aca="false">F10/G10</f>
        <v>0.8</v>
      </c>
      <c r="I10" s="9" t="s">
        <v>746</v>
      </c>
      <c r="J10" s="9" t="s">
        <v>747</v>
      </c>
    </row>
    <row r="11" customFormat="false" ht="28.35" hidden="false" customHeight="false" outlineLevel="0" collapsed="false">
      <c r="A11" s="10" t="n">
        <v>10</v>
      </c>
      <c r="B11" s="12" t="n">
        <v>46391</v>
      </c>
      <c r="C11" s="12" t="n">
        <v>46395</v>
      </c>
      <c r="D11" s="10" t="s">
        <v>748</v>
      </c>
      <c r="E11" s="10" t="s">
        <v>749</v>
      </c>
      <c r="F11" s="10" t="n">
        <f aca="false">SUMIFS('Product Backlog'!H2:H68,'Product Backlog'!K2:K68,A11)</f>
        <v>29</v>
      </c>
      <c r="G11" s="22" t="n">
        <v>30</v>
      </c>
      <c r="H11" s="23" t="n">
        <f aca="false">F11/G11</f>
        <v>0.966666666666667</v>
      </c>
      <c r="I11" s="10" t="s">
        <v>750</v>
      </c>
      <c r="J11" s="10" t="s">
        <v>751</v>
      </c>
    </row>
    <row r="13" customFormat="false" ht="15" hidden="false" customHeight="false" outlineLevel="0" collapsed="false">
      <c r="E13" s="19" t="s">
        <v>752</v>
      </c>
      <c r="F13" s="19" t="n">
        <f aca="false">SUM(F2:F11)</f>
        <v>279</v>
      </c>
    </row>
    <row r="14" customFormat="false" ht="15" hidden="false" customHeight="false" outlineLevel="0" collapsed="false">
      <c r="E14" s="19" t="s">
        <v>753</v>
      </c>
      <c r="F14" s="19" t="n">
        <f aca="false">SUM('Product Backlog'!H2:H68)</f>
        <v>279</v>
      </c>
    </row>
    <row r="15" customFormat="false" ht="15" hidden="false" customHeight="false" outlineLevel="0" collapsed="false">
      <c r="E15" s="19" t="s">
        <v>754</v>
      </c>
      <c r="F15" s="19" t="n">
        <f aca="false">F13-F14</f>
        <v>0</v>
      </c>
    </row>
    <row r="17" customFormat="false" ht="15" hidden="false" customHeight="false" outlineLevel="0" collapsed="false">
      <c r="E17" s="24" t="s">
        <v>755</v>
      </c>
    </row>
  </sheetData>
  <autoFilter ref="A1:J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70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10"/>
  </cols>
  <sheetData>
    <row r="1" customFormat="false" ht="30" hidden="false" customHeight="true" outlineLevel="0" collapsed="false">
      <c r="A1" s="8" t="s">
        <v>756</v>
      </c>
      <c r="B1" s="8" t="s">
        <v>757</v>
      </c>
      <c r="C1" s="8" t="s">
        <v>758</v>
      </c>
      <c r="D1" s="8" t="s">
        <v>215</v>
      </c>
      <c r="E1" s="8" t="s">
        <v>759</v>
      </c>
      <c r="F1" s="8" t="s">
        <v>385</v>
      </c>
      <c r="G1" s="8" t="s">
        <v>387</v>
      </c>
      <c r="H1" s="8" t="s">
        <v>123</v>
      </c>
    </row>
    <row r="2" customFormat="false" ht="15" hidden="false" customHeight="false" outlineLevel="0" collapsed="false">
      <c r="A2" s="9" t="s">
        <v>760</v>
      </c>
      <c r="B2" s="9" t="s">
        <v>761</v>
      </c>
      <c r="C2" s="9" t="s">
        <v>762</v>
      </c>
      <c r="D2" s="9" t="s">
        <v>124</v>
      </c>
      <c r="E2" s="9" t="s">
        <v>389</v>
      </c>
      <c r="F2" s="9" t="s">
        <v>393</v>
      </c>
      <c r="G2" s="9" t="n">
        <v>1</v>
      </c>
      <c r="H2" s="14" t="s">
        <v>132</v>
      </c>
    </row>
    <row r="3" customFormat="false" ht="15" hidden="false" customHeight="false" outlineLevel="0" collapsed="false">
      <c r="A3" s="10" t="s">
        <v>763</v>
      </c>
      <c r="B3" s="10" t="s">
        <v>761</v>
      </c>
      <c r="C3" s="10" t="s">
        <v>764</v>
      </c>
      <c r="D3" s="10" t="s">
        <v>133</v>
      </c>
      <c r="E3" s="10" t="s">
        <v>407</v>
      </c>
      <c r="F3" s="10" t="s">
        <v>393</v>
      </c>
      <c r="G3" s="10" t="n">
        <v>1</v>
      </c>
      <c r="H3" s="14" t="s">
        <v>132</v>
      </c>
    </row>
    <row r="4" customFormat="false" ht="28.35" hidden="false" customHeight="false" outlineLevel="0" collapsed="false">
      <c r="A4" s="9" t="s">
        <v>765</v>
      </c>
      <c r="B4" s="9" t="s">
        <v>761</v>
      </c>
      <c r="C4" s="9" t="s">
        <v>766</v>
      </c>
      <c r="D4" s="9" t="s">
        <v>124</v>
      </c>
      <c r="E4" s="9" t="s">
        <v>395</v>
      </c>
      <c r="F4" s="9" t="s">
        <v>393</v>
      </c>
      <c r="G4" s="9" t="n">
        <v>1</v>
      </c>
      <c r="H4" s="14" t="s">
        <v>132</v>
      </c>
    </row>
    <row r="5" customFormat="false" ht="15" hidden="false" customHeight="false" outlineLevel="0" collapsed="false">
      <c r="A5" s="10" t="s">
        <v>767</v>
      </c>
      <c r="B5" s="10" t="s">
        <v>768</v>
      </c>
      <c r="C5" s="10" t="s">
        <v>769</v>
      </c>
      <c r="D5" s="10" t="s">
        <v>138</v>
      </c>
      <c r="E5" s="10" t="s">
        <v>416</v>
      </c>
      <c r="F5" s="10" t="s">
        <v>393</v>
      </c>
      <c r="G5" s="10" t="n">
        <v>1</v>
      </c>
      <c r="H5" s="14" t="s">
        <v>132</v>
      </c>
    </row>
    <row r="6" customFormat="false" ht="15" hidden="false" customHeight="false" outlineLevel="0" collapsed="false">
      <c r="A6" s="9" t="s">
        <v>770</v>
      </c>
      <c r="B6" s="9" t="s">
        <v>768</v>
      </c>
      <c r="C6" s="9" t="s">
        <v>771</v>
      </c>
      <c r="D6" s="9" t="s">
        <v>133</v>
      </c>
      <c r="E6" s="9" t="s">
        <v>407</v>
      </c>
      <c r="F6" s="9" t="s">
        <v>393</v>
      </c>
      <c r="G6" s="9" t="n">
        <v>1</v>
      </c>
      <c r="H6" s="14" t="s">
        <v>132</v>
      </c>
    </row>
    <row r="7" customFormat="false" ht="15" hidden="false" customHeight="false" outlineLevel="0" collapsed="false">
      <c r="A7" s="10" t="s">
        <v>772</v>
      </c>
      <c r="B7" s="10" t="s">
        <v>768</v>
      </c>
      <c r="C7" s="10" t="s">
        <v>773</v>
      </c>
      <c r="D7" s="10" t="s">
        <v>138</v>
      </c>
      <c r="E7" s="10" t="s">
        <v>519</v>
      </c>
      <c r="F7" s="10" t="s">
        <v>509</v>
      </c>
      <c r="G7" s="10" t="n">
        <v>4</v>
      </c>
      <c r="H7" s="14" t="s">
        <v>132</v>
      </c>
    </row>
    <row r="8" customFormat="false" ht="15" hidden="false" customHeight="false" outlineLevel="0" collapsed="false">
      <c r="A8" s="9" t="s">
        <v>774</v>
      </c>
      <c r="B8" s="9" t="s">
        <v>768</v>
      </c>
      <c r="C8" s="9" t="s">
        <v>775</v>
      </c>
      <c r="D8" s="9" t="s">
        <v>169</v>
      </c>
      <c r="E8" s="9" t="s">
        <v>537</v>
      </c>
      <c r="F8" s="9" t="s">
        <v>509</v>
      </c>
      <c r="G8" s="9" t="n">
        <v>5</v>
      </c>
      <c r="H8" s="14" t="s">
        <v>132</v>
      </c>
    </row>
    <row r="9" customFormat="false" ht="15" hidden="false" customHeight="false" outlineLevel="0" collapsed="false">
      <c r="A9" s="10" t="s">
        <v>776</v>
      </c>
      <c r="B9" s="10" t="s">
        <v>768</v>
      </c>
      <c r="C9" s="10" t="s">
        <v>777</v>
      </c>
      <c r="D9" s="10" t="s">
        <v>194</v>
      </c>
      <c r="E9" s="10" t="s">
        <v>639</v>
      </c>
      <c r="F9" s="10" t="s">
        <v>637</v>
      </c>
      <c r="G9" s="10" t="n">
        <v>8</v>
      </c>
      <c r="H9" s="14" t="s">
        <v>132</v>
      </c>
    </row>
    <row r="10" customFormat="false" ht="15" hidden="false" customHeight="false" outlineLevel="0" collapsed="false">
      <c r="A10" s="9" t="s">
        <v>778</v>
      </c>
      <c r="B10" s="9" t="s">
        <v>779</v>
      </c>
      <c r="C10" s="9" t="s">
        <v>780</v>
      </c>
      <c r="D10" s="9" t="s">
        <v>144</v>
      </c>
      <c r="E10" s="9" t="s">
        <v>420</v>
      </c>
      <c r="F10" s="9" t="s">
        <v>424</v>
      </c>
      <c r="G10" s="9" t="n">
        <v>1</v>
      </c>
      <c r="H10" s="14" t="s">
        <v>132</v>
      </c>
    </row>
    <row r="11" customFormat="false" ht="15" hidden="false" customHeight="false" outlineLevel="0" collapsed="false">
      <c r="A11" s="10" t="s">
        <v>781</v>
      </c>
      <c r="B11" s="10" t="s">
        <v>779</v>
      </c>
      <c r="C11" s="10" t="s">
        <v>782</v>
      </c>
      <c r="D11" s="10" t="s">
        <v>144</v>
      </c>
      <c r="E11" s="10" t="s">
        <v>430</v>
      </c>
      <c r="F11" s="10" t="s">
        <v>424</v>
      </c>
      <c r="G11" s="10" t="n">
        <v>1</v>
      </c>
      <c r="H11" s="14" t="s">
        <v>132</v>
      </c>
    </row>
    <row r="12" customFormat="false" ht="15" hidden="false" customHeight="false" outlineLevel="0" collapsed="false">
      <c r="A12" s="9" t="s">
        <v>783</v>
      </c>
      <c r="B12" s="9" t="s">
        <v>779</v>
      </c>
      <c r="C12" s="9" t="s">
        <v>784</v>
      </c>
      <c r="D12" s="9" t="s">
        <v>138</v>
      </c>
      <c r="E12" s="9" t="s">
        <v>519</v>
      </c>
      <c r="F12" s="9" t="s">
        <v>509</v>
      </c>
      <c r="G12" s="9" t="n">
        <v>4</v>
      </c>
      <c r="H12" s="14" t="s">
        <v>132</v>
      </c>
    </row>
    <row r="13" customFormat="false" ht="15" hidden="false" customHeight="false" outlineLevel="0" collapsed="false">
      <c r="A13" s="10" t="s">
        <v>785</v>
      </c>
      <c r="B13" s="10" t="s">
        <v>779</v>
      </c>
      <c r="C13" s="10" t="s">
        <v>786</v>
      </c>
      <c r="D13" s="10" t="s">
        <v>201</v>
      </c>
      <c r="E13" s="10" t="s">
        <v>681</v>
      </c>
      <c r="F13" s="10" t="s">
        <v>637</v>
      </c>
      <c r="G13" s="10" t="n">
        <v>10</v>
      </c>
      <c r="H13" s="14" t="s">
        <v>132</v>
      </c>
    </row>
    <row r="14" customFormat="false" ht="15" hidden="false" customHeight="false" outlineLevel="0" collapsed="false">
      <c r="A14" s="9" t="s">
        <v>787</v>
      </c>
      <c r="B14" s="9" t="s">
        <v>788</v>
      </c>
      <c r="C14" s="9" t="s">
        <v>789</v>
      </c>
      <c r="D14" s="9" t="s">
        <v>124</v>
      </c>
      <c r="E14" s="9" t="s">
        <v>399</v>
      </c>
      <c r="F14" s="9" t="s">
        <v>393</v>
      </c>
      <c r="G14" s="9" t="n">
        <v>1</v>
      </c>
      <c r="H14" s="14" t="s">
        <v>132</v>
      </c>
    </row>
    <row r="15" customFormat="false" ht="15" hidden="false" customHeight="false" outlineLevel="0" collapsed="false">
      <c r="A15" s="10" t="s">
        <v>790</v>
      </c>
      <c r="B15" s="10" t="s">
        <v>788</v>
      </c>
      <c r="C15" s="10" t="s">
        <v>791</v>
      </c>
      <c r="D15" s="10" t="s">
        <v>138</v>
      </c>
      <c r="E15" s="10" t="s">
        <v>438</v>
      </c>
      <c r="F15" s="10" t="s">
        <v>424</v>
      </c>
      <c r="G15" s="10" t="n">
        <v>2</v>
      </c>
      <c r="H15" s="14" t="s">
        <v>132</v>
      </c>
    </row>
    <row r="16" customFormat="false" ht="15" hidden="false" customHeight="false" outlineLevel="0" collapsed="false">
      <c r="A16" s="9" t="s">
        <v>792</v>
      </c>
      <c r="B16" s="9" t="s">
        <v>788</v>
      </c>
      <c r="C16" s="9" t="s">
        <v>793</v>
      </c>
      <c r="D16" s="9" t="s">
        <v>150</v>
      </c>
      <c r="E16" s="9" t="s">
        <v>486</v>
      </c>
      <c r="F16" s="9" t="s">
        <v>455</v>
      </c>
      <c r="G16" s="9" t="n">
        <v>3</v>
      </c>
      <c r="H16" s="14" t="s">
        <v>132</v>
      </c>
    </row>
    <row r="17" customFormat="false" ht="15" hidden="false" customHeight="false" outlineLevel="0" collapsed="false">
      <c r="A17" s="10" t="s">
        <v>794</v>
      </c>
      <c r="B17" s="10" t="s">
        <v>788</v>
      </c>
      <c r="C17" s="10" t="s">
        <v>795</v>
      </c>
      <c r="D17" s="10" t="s">
        <v>169</v>
      </c>
      <c r="E17" s="10" t="s">
        <v>537</v>
      </c>
      <c r="F17" s="10" t="s">
        <v>509</v>
      </c>
      <c r="G17" s="10" t="n">
        <v>5</v>
      </c>
      <c r="H17" s="14" t="s">
        <v>132</v>
      </c>
    </row>
    <row r="18" customFormat="false" ht="15" hidden="false" customHeight="false" outlineLevel="0" collapsed="false">
      <c r="A18" s="9" t="s">
        <v>796</v>
      </c>
      <c r="B18" s="9" t="s">
        <v>797</v>
      </c>
      <c r="C18" s="9" t="s">
        <v>798</v>
      </c>
      <c r="D18" s="9" t="s">
        <v>144</v>
      </c>
      <c r="E18" s="9" t="s">
        <v>430</v>
      </c>
      <c r="F18" s="9" t="s">
        <v>424</v>
      </c>
      <c r="G18" s="9" t="n">
        <v>1</v>
      </c>
      <c r="H18" s="14" t="s">
        <v>132</v>
      </c>
    </row>
    <row r="19" customFormat="false" ht="15" hidden="false" customHeight="false" outlineLevel="0" collapsed="false">
      <c r="A19" s="10" t="s">
        <v>799</v>
      </c>
      <c r="B19" s="10" t="s">
        <v>797</v>
      </c>
      <c r="C19" s="10" t="s">
        <v>800</v>
      </c>
      <c r="D19" s="10" t="s">
        <v>144</v>
      </c>
      <c r="E19" s="10" t="s">
        <v>426</v>
      </c>
      <c r="F19" s="10" t="s">
        <v>424</v>
      </c>
      <c r="G19" s="10" t="n">
        <v>1</v>
      </c>
      <c r="H19" s="14" t="s">
        <v>132</v>
      </c>
    </row>
    <row r="20" customFormat="false" ht="15" hidden="false" customHeight="false" outlineLevel="0" collapsed="false">
      <c r="A20" s="9" t="s">
        <v>801</v>
      </c>
      <c r="B20" s="9" t="s">
        <v>797</v>
      </c>
      <c r="C20" s="9" t="s">
        <v>802</v>
      </c>
      <c r="D20" s="9" t="s">
        <v>144</v>
      </c>
      <c r="E20" s="9" t="s">
        <v>420</v>
      </c>
      <c r="F20" s="9" t="s">
        <v>424</v>
      </c>
      <c r="G20" s="9" t="n">
        <v>1</v>
      </c>
      <c r="H20" s="14" t="s">
        <v>132</v>
      </c>
    </row>
    <row r="21" customFormat="false" ht="15" hidden="false" customHeight="false" outlineLevel="0" collapsed="false">
      <c r="A21" s="10" t="s">
        <v>803</v>
      </c>
      <c r="B21" s="10" t="s">
        <v>804</v>
      </c>
      <c r="C21" s="10" t="s">
        <v>805</v>
      </c>
      <c r="D21" s="10" t="s">
        <v>133</v>
      </c>
      <c r="E21" s="10" t="s">
        <v>407</v>
      </c>
      <c r="F21" s="10" t="s">
        <v>393</v>
      </c>
      <c r="G21" s="10" t="n">
        <v>1</v>
      </c>
      <c r="H21" s="14" t="s">
        <v>132</v>
      </c>
    </row>
    <row r="22" customFormat="false" ht="15" hidden="false" customHeight="false" outlineLevel="0" collapsed="false">
      <c r="A22" s="9" t="s">
        <v>806</v>
      </c>
      <c r="B22" s="9" t="s">
        <v>804</v>
      </c>
      <c r="C22" s="9" t="s">
        <v>807</v>
      </c>
      <c r="D22" s="9" t="s">
        <v>144</v>
      </c>
      <c r="E22" s="9" t="s">
        <v>420</v>
      </c>
      <c r="F22" s="9" t="s">
        <v>424</v>
      </c>
      <c r="G22" s="9" t="n">
        <v>1</v>
      </c>
      <c r="H22" s="14" t="s">
        <v>132</v>
      </c>
    </row>
    <row r="23" customFormat="false" ht="15" hidden="false" customHeight="false" outlineLevel="0" collapsed="false">
      <c r="A23" s="10" t="s">
        <v>808</v>
      </c>
      <c r="B23" s="10" t="s">
        <v>804</v>
      </c>
      <c r="C23" s="10" t="s">
        <v>809</v>
      </c>
      <c r="D23" s="10" t="s">
        <v>144</v>
      </c>
      <c r="E23" s="10" t="s">
        <v>434</v>
      </c>
      <c r="F23" s="10" t="s">
        <v>424</v>
      </c>
      <c r="G23" s="10" t="n">
        <v>2</v>
      </c>
      <c r="H23" s="14" t="s">
        <v>132</v>
      </c>
    </row>
    <row r="24" customFormat="false" ht="15" hidden="false" customHeight="false" outlineLevel="0" collapsed="false">
      <c r="A24" s="9" t="s">
        <v>810</v>
      </c>
      <c r="B24" s="9" t="s">
        <v>804</v>
      </c>
      <c r="C24" s="9" t="s">
        <v>811</v>
      </c>
      <c r="D24" s="9" t="s">
        <v>194</v>
      </c>
      <c r="E24" s="9" t="s">
        <v>643</v>
      </c>
      <c r="F24" s="9" t="s">
        <v>637</v>
      </c>
      <c r="G24" s="9" t="n">
        <v>8</v>
      </c>
      <c r="H24" s="14" t="s">
        <v>132</v>
      </c>
    </row>
    <row r="25" customFormat="false" ht="15" hidden="false" customHeight="false" outlineLevel="0" collapsed="false">
      <c r="A25" s="10" t="s">
        <v>812</v>
      </c>
      <c r="B25" s="10" t="s">
        <v>813</v>
      </c>
      <c r="C25" s="10" t="s">
        <v>814</v>
      </c>
      <c r="D25" s="10" t="s">
        <v>124</v>
      </c>
      <c r="E25" s="10" t="s">
        <v>395</v>
      </c>
      <c r="F25" s="10" t="s">
        <v>393</v>
      </c>
      <c r="G25" s="10" t="n">
        <v>1</v>
      </c>
      <c r="H25" s="14" t="s">
        <v>132</v>
      </c>
    </row>
    <row r="26" customFormat="false" ht="15" hidden="false" customHeight="false" outlineLevel="0" collapsed="false">
      <c r="A26" s="9" t="s">
        <v>815</v>
      </c>
      <c r="B26" s="9" t="s">
        <v>813</v>
      </c>
      <c r="C26" s="9" t="s">
        <v>816</v>
      </c>
      <c r="D26" s="9" t="s">
        <v>201</v>
      </c>
      <c r="E26" s="9" t="s">
        <v>495</v>
      </c>
      <c r="F26" s="9" t="s">
        <v>455</v>
      </c>
      <c r="G26" s="9" t="n">
        <v>3</v>
      </c>
      <c r="H26" s="14" t="s">
        <v>132</v>
      </c>
    </row>
    <row r="27" customFormat="false" ht="15" hidden="false" customHeight="false" outlineLevel="0" collapsed="false">
      <c r="A27" s="10" t="s">
        <v>817</v>
      </c>
      <c r="B27" s="10" t="s">
        <v>813</v>
      </c>
      <c r="C27" s="10" t="s">
        <v>818</v>
      </c>
      <c r="D27" s="10" t="s">
        <v>133</v>
      </c>
      <c r="E27" s="10" t="s">
        <v>407</v>
      </c>
      <c r="F27" s="10" t="s">
        <v>393</v>
      </c>
      <c r="G27" s="10" t="n">
        <v>1</v>
      </c>
      <c r="H27" s="14" t="s">
        <v>132</v>
      </c>
    </row>
    <row r="28" customFormat="false" ht="15" hidden="false" customHeight="false" outlineLevel="0" collapsed="false">
      <c r="A28" s="9" t="s">
        <v>819</v>
      </c>
      <c r="B28" s="9" t="s">
        <v>820</v>
      </c>
      <c r="C28" s="9" t="s">
        <v>821</v>
      </c>
      <c r="D28" s="9" t="s">
        <v>208</v>
      </c>
      <c r="E28" s="9" t="s">
        <v>490</v>
      </c>
      <c r="F28" s="9" t="s">
        <v>455</v>
      </c>
      <c r="G28" s="9" t="n">
        <v>3</v>
      </c>
      <c r="H28" s="14" t="s">
        <v>132</v>
      </c>
    </row>
    <row r="29" customFormat="false" ht="15" hidden="false" customHeight="false" outlineLevel="0" collapsed="false">
      <c r="A29" s="10" t="s">
        <v>822</v>
      </c>
      <c r="B29" s="10" t="s">
        <v>820</v>
      </c>
      <c r="C29" s="10" t="s">
        <v>823</v>
      </c>
      <c r="D29" s="10" t="s">
        <v>208</v>
      </c>
      <c r="E29" s="10" t="s">
        <v>624</v>
      </c>
      <c r="F29" s="10" t="s">
        <v>579</v>
      </c>
      <c r="G29" s="10" t="n">
        <v>7</v>
      </c>
      <c r="H29" s="14" t="s">
        <v>132</v>
      </c>
    </row>
    <row r="30" customFormat="false" ht="15" hidden="false" customHeight="false" outlineLevel="0" collapsed="false">
      <c r="A30" s="9" t="s">
        <v>824</v>
      </c>
      <c r="B30" s="9" t="s">
        <v>820</v>
      </c>
      <c r="C30" s="9" t="s">
        <v>825</v>
      </c>
      <c r="D30" s="9" t="s">
        <v>144</v>
      </c>
      <c r="E30" s="9" t="s">
        <v>426</v>
      </c>
      <c r="F30" s="9" t="s">
        <v>424</v>
      </c>
      <c r="G30" s="9" t="n">
        <v>1</v>
      </c>
      <c r="H30" s="14" t="s">
        <v>132</v>
      </c>
    </row>
  </sheetData>
  <autoFilter ref="A1:H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2"/>
    <col collapsed="false" customWidth="true" hidden="false" outlineLevel="0" max="3" min="3" style="0" width="70"/>
    <col collapsed="false" customWidth="true" hidden="false" outlineLevel="0" max="4" min="4" style="0" width="40"/>
  </cols>
  <sheetData>
    <row r="1" customFormat="false" ht="30" hidden="false" customHeight="true" outlineLevel="0" collapsed="false">
      <c r="A1" s="8" t="s">
        <v>826</v>
      </c>
      <c r="B1" s="8" t="s">
        <v>827</v>
      </c>
      <c r="C1" s="8" t="s">
        <v>828</v>
      </c>
      <c r="D1" s="8" t="s">
        <v>829</v>
      </c>
    </row>
    <row r="2" customFormat="false" ht="28.35" hidden="false" customHeight="false" outlineLevel="0" collapsed="false">
      <c r="A2" s="9" t="s">
        <v>830</v>
      </c>
      <c r="B2" s="9" t="s">
        <v>831</v>
      </c>
      <c r="C2" s="9" t="s">
        <v>832</v>
      </c>
      <c r="D2" s="9" t="s">
        <v>833</v>
      </c>
    </row>
    <row r="3" customFormat="false" ht="15" hidden="false" customHeight="false" outlineLevel="0" collapsed="false">
      <c r="A3" s="10" t="s">
        <v>834</v>
      </c>
      <c r="B3" s="10" t="s">
        <v>835</v>
      </c>
      <c r="C3" s="10" t="s">
        <v>836</v>
      </c>
      <c r="D3" s="10" t="s">
        <v>837</v>
      </c>
    </row>
    <row r="4" customFormat="false" ht="15" hidden="false" customHeight="false" outlineLevel="0" collapsed="false">
      <c r="A4" s="9" t="s">
        <v>838</v>
      </c>
      <c r="B4" s="9" t="s">
        <v>839</v>
      </c>
      <c r="C4" s="9" t="s">
        <v>840</v>
      </c>
      <c r="D4" s="9" t="s">
        <v>841</v>
      </c>
    </row>
    <row r="5" customFormat="false" ht="15" hidden="false" customHeight="false" outlineLevel="0" collapsed="false">
      <c r="A5" s="10" t="s">
        <v>842</v>
      </c>
      <c r="B5" s="10" t="s">
        <v>843</v>
      </c>
      <c r="C5" s="10" t="s">
        <v>844</v>
      </c>
      <c r="D5" s="10" t="s">
        <v>845</v>
      </c>
    </row>
    <row r="6" customFormat="false" ht="15" hidden="false" customHeight="false" outlineLevel="0" collapsed="false">
      <c r="A6" s="9" t="s">
        <v>846</v>
      </c>
      <c r="B6" s="9" t="s">
        <v>847</v>
      </c>
      <c r="C6" s="9" t="s">
        <v>848</v>
      </c>
      <c r="D6" s="9" t="s">
        <v>849</v>
      </c>
    </row>
    <row r="7" customFormat="false" ht="15" hidden="false" customHeight="false" outlineLevel="0" collapsed="false">
      <c r="A7" s="10" t="s">
        <v>850</v>
      </c>
      <c r="B7" s="10" t="s">
        <v>851</v>
      </c>
      <c r="C7" s="10" t="s">
        <v>852</v>
      </c>
      <c r="D7" s="10" t="s">
        <v>853</v>
      </c>
    </row>
    <row r="8" customFormat="false" ht="28.35" hidden="false" customHeight="false" outlineLevel="0" collapsed="false">
      <c r="A8" s="9" t="s">
        <v>854</v>
      </c>
      <c r="B8" s="9" t="s">
        <v>855</v>
      </c>
      <c r="C8" s="9" t="s">
        <v>856</v>
      </c>
      <c r="D8" s="9" t="s">
        <v>857</v>
      </c>
    </row>
    <row r="9" customFormat="false" ht="28.35" hidden="false" customHeight="false" outlineLevel="0" collapsed="false">
      <c r="A9" s="10" t="s">
        <v>858</v>
      </c>
      <c r="B9" s="10" t="s">
        <v>859</v>
      </c>
      <c r="C9" s="10" t="s">
        <v>860</v>
      </c>
      <c r="D9" s="10" t="s">
        <v>861</v>
      </c>
    </row>
    <row r="10" customFormat="false" ht="28.35" hidden="false" customHeight="false" outlineLevel="0" collapsed="false">
      <c r="A10" s="9" t="s">
        <v>862</v>
      </c>
      <c r="B10" s="9" t="s">
        <v>863</v>
      </c>
      <c r="C10" s="9" t="s">
        <v>864</v>
      </c>
      <c r="D10" s="9" t="s">
        <v>865</v>
      </c>
    </row>
    <row r="11" customFormat="false" ht="28.35" hidden="false" customHeight="false" outlineLevel="0" collapsed="false">
      <c r="A11" s="10" t="s">
        <v>866</v>
      </c>
      <c r="B11" s="10" t="s">
        <v>867</v>
      </c>
      <c r="C11" s="10" t="s">
        <v>868</v>
      </c>
      <c r="D11" s="10" t="s">
        <v>869</v>
      </c>
    </row>
    <row r="12" customFormat="false" ht="28.35" hidden="false" customHeight="false" outlineLevel="0" collapsed="false">
      <c r="A12" s="9" t="s">
        <v>870</v>
      </c>
      <c r="B12" s="9" t="s">
        <v>871</v>
      </c>
      <c r="C12" s="9" t="s">
        <v>872</v>
      </c>
      <c r="D12" s="9" t="s">
        <v>873</v>
      </c>
    </row>
    <row r="13" customFormat="false" ht="15" hidden="false" customHeight="false" outlineLevel="0" collapsed="false">
      <c r="A13" s="10" t="s">
        <v>874</v>
      </c>
      <c r="B13" s="10" t="s">
        <v>875</v>
      </c>
      <c r="C13" s="10" t="s">
        <v>876</v>
      </c>
      <c r="D13" s="10" t="s">
        <v>877</v>
      </c>
    </row>
    <row r="14" customFormat="false" ht="15" hidden="false" customHeight="false" outlineLevel="0" collapsed="false">
      <c r="A14" s="9" t="s">
        <v>878</v>
      </c>
      <c r="B14" s="9" t="s">
        <v>879</v>
      </c>
      <c r="C14" s="9" t="s">
        <v>880</v>
      </c>
      <c r="D14" s="9" t="s">
        <v>881</v>
      </c>
    </row>
    <row r="15" customFormat="false" ht="15" hidden="false" customHeight="false" outlineLevel="0" collapsed="false">
      <c r="A15" s="10" t="s">
        <v>882</v>
      </c>
      <c r="B15" s="10" t="s">
        <v>883</v>
      </c>
      <c r="C15" s="10" t="s">
        <v>884</v>
      </c>
      <c r="D15" s="10" t="s">
        <v>885</v>
      </c>
    </row>
    <row r="16" customFormat="false" ht="15" hidden="false" customHeight="false" outlineLevel="0" collapsed="false">
      <c r="A16" s="9" t="s">
        <v>363</v>
      </c>
      <c r="B16" s="9" t="s">
        <v>886</v>
      </c>
      <c r="C16" s="9" t="s">
        <v>887</v>
      </c>
      <c r="D16" s="9" t="s">
        <v>888</v>
      </c>
    </row>
    <row r="17" customFormat="false" ht="15" hidden="false" customHeight="false" outlineLevel="0" collapsed="false">
      <c r="A17" s="10" t="s">
        <v>889</v>
      </c>
      <c r="B17" s="10" t="s">
        <v>890</v>
      </c>
      <c r="C17" s="10" t="s">
        <v>891</v>
      </c>
      <c r="D17" s="10" t="s">
        <v>892</v>
      </c>
    </row>
    <row r="18" customFormat="false" ht="15" hidden="false" customHeight="false" outlineLevel="0" collapsed="false">
      <c r="A18" s="9" t="s">
        <v>893</v>
      </c>
      <c r="B18" s="9" t="s">
        <v>894</v>
      </c>
      <c r="C18" s="9" t="s">
        <v>895</v>
      </c>
      <c r="D18" s="9" t="s">
        <v>896</v>
      </c>
    </row>
    <row r="19" customFormat="false" ht="28.35" hidden="false" customHeight="false" outlineLevel="0" collapsed="false">
      <c r="A19" s="10" t="s">
        <v>360</v>
      </c>
      <c r="B19" s="10" t="s">
        <v>897</v>
      </c>
      <c r="C19" s="10" t="s">
        <v>898</v>
      </c>
      <c r="D19" s="10" t="s">
        <v>899</v>
      </c>
    </row>
    <row r="20" customFormat="false" ht="28.35" hidden="false" customHeight="false" outlineLevel="0" collapsed="false">
      <c r="A20" s="9" t="s">
        <v>900</v>
      </c>
      <c r="B20" s="9" t="s">
        <v>901</v>
      </c>
      <c r="C20" s="9" t="s">
        <v>902</v>
      </c>
      <c r="D20" s="9" t="s">
        <v>903</v>
      </c>
    </row>
  </sheetData>
  <autoFilter ref="A1:D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80"/>
    <col collapsed="false" customWidth="true" hidden="false" outlineLevel="0" max="4" min="4" style="0" width="30"/>
    <col collapsed="false" customWidth="true" hidden="false" outlineLevel="0" max="5" min="5" style="0" width="36"/>
  </cols>
  <sheetData>
    <row r="1" customFormat="false" ht="30" hidden="false" customHeight="true" outlineLevel="0" collapsed="false">
      <c r="A1" s="8" t="s">
        <v>904</v>
      </c>
      <c r="B1" s="8" t="s">
        <v>905</v>
      </c>
      <c r="C1" s="8" t="s">
        <v>906</v>
      </c>
      <c r="D1" s="8" t="s">
        <v>907</v>
      </c>
      <c r="E1" s="8" t="s">
        <v>908</v>
      </c>
    </row>
    <row r="2" customFormat="false" ht="28.35" hidden="false" customHeight="false" outlineLevel="0" collapsed="false">
      <c r="A2" s="9" t="s">
        <v>909</v>
      </c>
      <c r="B2" s="9" t="s">
        <v>910</v>
      </c>
      <c r="C2" s="9" t="s">
        <v>911</v>
      </c>
      <c r="D2" s="9" t="s">
        <v>912</v>
      </c>
      <c r="E2" s="9" t="s">
        <v>913</v>
      </c>
    </row>
    <row r="3" customFormat="false" ht="41.75" hidden="false" customHeight="false" outlineLevel="0" collapsed="false">
      <c r="A3" s="10" t="s">
        <v>914</v>
      </c>
      <c r="B3" s="10" t="s">
        <v>915</v>
      </c>
      <c r="C3" s="10" t="s">
        <v>916</v>
      </c>
      <c r="D3" s="10" t="s">
        <v>917</v>
      </c>
      <c r="E3" s="10" t="s">
        <v>918</v>
      </c>
    </row>
    <row r="4" customFormat="false" ht="15" hidden="false" customHeight="false" outlineLevel="0" collapsed="false">
      <c r="A4" s="9" t="s">
        <v>919</v>
      </c>
      <c r="B4" s="9" t="s">
        <v>915</v>
      </c>
      <c r="C4" s="9" t="s">
        <v>920</v>
      </c>
      <c r="D4" s="9" t="s">
        <v>921</v>
      </c>
      <c r="E4" s="9" t="s">
        <v>922</v>
      </c>
    </row>
    <row r="5" customFormat="false" ht="15" hidden="false" customHeight="false" outlineLevel="0" collapsed="false">
      <c r="A5" s="10" t="s">
        <v>923</v>
      </c>
      <c r="B5" s="10" t="s">
        <v>915</v>
      </c>
      <c r="C5" s="10" t="s">
        <v>924</v>
      </c>
      <c r="D5" s="10" t="s">
        <v>925</v>
      </c>
      <c r="E5" s="10" t="s">
        <v>926</v>
      </c>
    </row>
    <row r="6" customFormat="false" ht="15" hidden="false" customHeight="false" outlineLevel="0" collapsed="false">
      <c r="A6" s="9" t="s">
        <v>927</v>
      </c>
      <c r="B6" s="9" t="s">
        <v>915</v>
      </c>
      <c r="C6" s="9" t="s">
        <v>928</v>
      </c>
      <c r="D6" s="9" t="s">
        <v>929</v>
      </c>
      <c r="E6" s="9" t="s">
        <v>930</v>
      </c>
    </row>
    <row r="7" customFormat="false" ht="28.35" hidden="false" customHeight="false" outlineLevel="0" collapsed="false">
      <c r="A7" s="10" t="s">
        <v>931</v>
      </c>
      <c r="B7" s="10" t="s">
        <v>915</v>
      </c>
      <c r="C7" s="10" t="s">
        <v>932</v>
      </c>
      <c r="D7" s="10" t="s">
        <v>933</v>
      </c>
      <c r="E7" s="10" t="s">
        <v>930</v>
      </c>
    </row>
    <row r="8" customFormat="false" ht="15" hidden="false" customHeight="false" outlineLevel="0" collapsed="false">
      <c r="A8" s="9" t="s">
        <v>934</v>
      </c>
      <c r="B8" s="9" t="s">
        <v>910</v>
      </c>
      <c r="C8" s="9" t="s">
        <v>935</v>
      </c>
      <c r="D8" s="9" t="s">
        <v>936</v>
      </c>
      <c r="E8" s="9" t="s">
        <v>937</v>
      </c>
    </row>
    <row r="9" customFormat="false" ht="15" hidden="false" customHeight="false" outlineLevel="0" collapsed="false">
      <c r="A9" s="10" t="s">
        <v>938</v>
      </c>
      <c r="B9" s="10" t="s">
        <v>910</v>
      </c>
      <c r="C9" s="10" t="s">
        <v>939</v>
      </c>
      <c r="D9" s="10" t="s">
        <v>940</v>
      </c>
      <c r="E9" s="10" t="s">
        <v>930</v>
      </c>
    </row>
    <row r="10" customFormat="false" ht="28.35" hidden="false" customHeight="false" outlineLevel="0" collapsed="false">
      <c r="A10" s="9" t="s">
        <v>941</v>
      </c>
      <c r="B10" s="9" t="s">
        <v>910</v>
      </c>
      <c r="C10" s="9" t="s">
        <v>942</v>
      </c>
      <c r="D10" s="9" t="s">
        <v>936</v>
      </c>
      <c r="E10" s="9" t="s">
        <v>943</v>
      </c>
    </row>
    <row r="11" customFormat="false" ht="15" hidden="false" customHeight="false" outlineLevel="0" collapsed="false">
      <c r="A11" s="10" t="s">
        <v>944</v>
      </c>
      <c r="B11" s="10" t="s">
        <v>910</v>
      </c>
      <c r="C11" s="10" t="s">
        <v>945</v>
      </c>
      <c r="D11" s="10" t="s">
        <v>936</v>
      </c>
      <c r="E11" s="10" t="s">
        <v>930</v>
      </c>
    </row>
    <row r="12" customFormat="false" ht="15" hidden="false" customHeight="false" outlineLevel="0" collapsed="false">
      <c r="A12" s="9" t="s">
        <v>946</v>
      </c>
      <c r="B12" s="9" t="s">
        <v>910</v>
      </c>
      <c r="C12" s="9" t="s">
        <v>947</v>
      </c>
      <c r="D12" s="9" t="s">
        <v>948</v>
      </c>
      <c r="E12" s="9" t="s">
        <v>949</v>
      </c>
    </row>
    <row r="13" customFormat="false" ht="15" hidden="false" customHeight="false" outlineLevel="0" collapsed="false">
      <c r="A13" s="10" t="s">
        <v>950</v>
      </c>
      <c r="B13" s="10" t="s">
        <v>910</v>
      </c>
      <c r="C13" s="10" t="s">
        <v>951</v>
      </c>
      <c r="D13" s="10" t="s">
        <v>952</v>
      </c>
      <c r="E13" s="10" t="s">
        <v>953</v>
      </c>
    </row>
    <row r="14" customFormat="false" ht="15" hidden="false" customHeight="false" outlineLevel="0" collapsed="false">
      <c r="A14" s="9" t="s">
        <v>954</v>
      </c>
      <c r="B14" s="9" t="s">
        <v>910</v>
      </c>
      <c r="C14" s="9" t="s">
        <v>955</v>
      </c>
      <c r="D14" s="9" t="s">
        <v>921</v>
      </c>
      <c r="E14" s="9" t="s">
        <v>956</v>
      </c>
    </row>
    <row r="15" customFormat="false" ht="28.35" hidden="false" customHeight="false" outlineLevel="0" collapsed="false">
      <c r="A15" s="10" t="s">
        <v>957</v>
      </c>
      <c r="B15" s="10" t="s">
        <v>910</v>
      </c>
      <c r="C15" s="10" t="s">
        <v>958</v>
      </c>
      <c r="D15" s="10" t="s">
        <v>952</v>
      </c>
      <c r="E15" s="10" t="s">
        <v>959</v>
      </c>
    </row>
    <row r="16" customFormat="false" ht="15" hidden="false" customHeight="false" outlineLevel="0" collapsed="false">
      <c r="A16" s="9" t="s">
        <v>960</v>
      </c>
      <c r="B16" s="9" t="s">
        <v>910</v>
      </c>
      <c r="C16" s="9" t="s">
        <v>961</v>
      </c>
      <c r="D16" s="9" t="s">
        <v>940</v>
      </c>
      <c r="E16" s="9" t="s">
        <v>962</v>
      </c>
    </row>
  </sheetData>
  <autoFilter ref="A1:E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46"/>
    <col collapsed="false" customWidth="true" hidden="false" outlineLevel="0" max="5" min="5" style="0" width="56"/>
    <col collapsed="false" customWidth="true" hidden="false" outlineLevel="0" max="6" min="6" style="0" width="24"/>
    <col collapsed="false" customWidth="true" hidden="false" outlineLevel="0" max="7" min="7" style="0" width="22"/>
    <col collapsed="false" customWidth="true" hidden="false" outlineLevel="0" max="8" min="8" style="0" width="10"/>
  </cols>
  <sheetData>
    <row r="1" customFormat="false" ht="30" hidden="false" customHeight="true" outlineLevel="0" collapsed="false">
      <c r="A1" s="8" t="s">
        <v>963</v>
      </c>
      <c r="B1" s="8" t="s">
        <v>964</v>
      </c>
      <c r="C1" s="8" t="s">
        <v>119</v>
      </c>
      <c r="D1" s="8" t="s">
        <v>965</v>
      </c>
      <c r="E1" s="8" t="s">
        <v>966</v>
      </c>
      <c r="F1" s="8" t="s">
        <v>967</v>
      </c>
      <c r="G1" s="8" t="s">
        <v>968</v>
      </c>
      <c r="H1" s="8" t="s">
        <v>969</v>
      </c>
    </row>
    <row r="2" customFormat="false" ht="28.35" hidden="false" customHeight="false" outlineLevel="0" collapsed="false">
      <c r="A2" s="9" t="s">
        <v>970</v>
      </c>
      <c r="B2" s="9" t="s">
        <v>971</v>
      </c>
      <c r="C2" s="9" t="s">
        <v>972</v>
      </c>
      <c r="D2" s="9" t="s">
        <v>973</v>
      </c>
      <c r="E2" s="9" t="s">
        <v>974</v>
      </c>
      <c r="F2" s="9" t="s">
        <v>975</v>
      </c>
      <c r="G2" s="9" t="s">
        <v>976</v>
      </c>
      <c r="H2" s="9" t="s">
        <v>457</v>
      </c>
    </row>
    <row r="3" customFormat="false" ht="15" hidden="false" customHeight="false" outlineLevel="0" collapsed="false">
      <c r="A3" s="10" t="s">
        <v>977</v>
      </c>
      <c r="B3" s="10" t="s">
        <v>971</v>
      </c>
      <c r="C3" s="10" t="s">
        <v>978</v>
      </c>
      <c r="D3" s="10" t="s">
        <v>979</v>
      </c>
      <c r="E3" s="10" t="s">
        <v>980</v>
      </c>
      <c r="F3" s="10" t="s">
        <v>975</v>
      </c>
      <c r="G3" s="10" t="s">
        <v>981</v>
      </c>
      <c r="H3" s="10" t="s">
        <v>462</v>
      </c>
    </row>
    <row r="4" customFormat="false" ht="28.35" hidden="false" customHeight="false" outlineLevel="0" collapsed="false">
      <c r="A4" s="9" t="s">
        <v>982</v>
      </c>
      <c r="B4" s="9" t="s">
        <v>971</v>
      </c>
      <c r="C4" s="9" t="s">
        <v>983</v>
      </c>
      <c r="D4" s="9" t="s">
        <v>984</v>
      </c>
      <c r="E4" s="9" t="s">
        <v>985</v>
      </c>
      <c r="F4" s="9" t="s">
        <v>975</v>
      </c>
      <c r="G4" s="9" t="s">
        <v>981</v>
      </c>
      <c r="H4" s="9" t="s">
        <v>476</v>
      </c>
    </row>
    <row r="5" customFormat="false" ht="15" hidden="false" customHeight="false" outlineLevel="0" collapsed="false">
      <c r="A5" s="10" t="s">
        <v>986</v>
      </c>
      <c r="B5" s="10" t="s">
        <v>971</v>
      </c>
      <c r="C5" s="10" t="s">
        <v>987</v>
      </c>
      <c r="D5" s="10" t="s">
        <v>988</v>
      </c>
      <c r="E5" s="10" t="s">
        <v>989</v>
      </c>
      <c r="F5" s="10" t="s">
        <v>975</v>
      </c>
      <c r="G5" s="10" t="s">
        <v>981</v>
      </c>
      <c r="H5" s="10" t="s">
        <v>547</v>
      </c>
    </row>
    <row r="6" customFormat="false" ht="28.35" hidden="false" customHeight="false" outlineLevel="0" collapsed="false">
      <c r="A6" s="9" t="s">
        <v>990</v>
      </c>
      <c r="B6" s="9" t="s">
        <v>991</v>
      </c>
      <c r="C6" s="9" t="s">
        <v>992</v>
      </c>
      <c r="D6" s="9" t="s">
        <v>993</v>
      </c>
      <c r="E6" s="9" t="s">
        <v>994</v>
      </c>
      <c r="F6" s="9" t="s">
        <v>975</v>
      </c>
      <c r="G6" s="9" t="s">
        <v>995</v>
      </c>
      <c r="H6" s="9" t="s">
        <v>575</v>
      </c>
    </row>
    <row r="7" customFormat="false" ht="15" hidden="false" customHeight="false" outlineLevel="0" collapsed="false">
      <c r="A7" s="10" t="s">
        <v>996</v>
      </c>
      <c r="B7" s="10" t="s">
        <v>971</v>
      </c>
      <c r="C7" s="10" t="s">
        <v>997</v>
      </c>
      <c r="D7" s="10" t="s">
        <v>998</v>
      </c>
      <c r="E7" s="10" t="s">
        <v>999</v>
      </c>
      <c r="F7" s="10" t="s">
        <v>975</v>
      </c>
      <c r="G7" s="10" t="s">
        <v>981</v>
      </c>
      <c r="H7" s="10" t="s">
        <v>605</v>
      </c>
    </row>
    <row r="8" customFormat="false" ht="28.35" hidden="false" customHeight="false" outlineLevel="0" collapsed="false">
      <c r="A8" s="9" t="s">
        <v>1000</v>
      </c>
      <c r="B8" s="9" t="s">
        <v>971</v>
      </c>
      <c r="C8" s="9" t="s">
        <v>1001</v>
      </c>
      <c r="D8" s="9" t="s">
        <v>1002</v>
      </c>
      <c r="E8" s="9" t="s">
        <v>1003</v>
      </c>
      <c r="F8" s="9" t="s">
        <v>975</v>
      </c>
      <c r="G8" s="9" t="s">
        <v>976</v>
      </c>
      <c r="H8" s="9" t="s">
        <v>591</v>
      </c>
    </row>
    <row r="9" customFormat="false" ht="28.35" hidden="false" customHeight="false" outlineLevel="0" collapsed="false">
      <c r="A9" s="10" t="s">
        <v>1004</v>
      </c>
      <c r="B9" s="10" t="s">
        <v>991</v>
      </c>
      <c r="C9" s="10" t="s">
        <v>1005</v>
      </c>
      <c r="D9" s="10" t="s">
        <v>1006</v>
      </c>
      <c r="E9" s="10" t="s">
        <v>1007</v>
      </c>
      <c r="F9" s="10" t="s">
        <v>1008</v>
      </c>
      <c r="G9" s="10" t="s">
        <v>1009</v>
      </c>
      <c r="H9" s="10" t="s">
        <v>666</v>
      </c>
    </row>
    <row r="10" customFormat="false" ht="15" hidden="false" customHeight="false" outlineLevel="0" collapsed="false">
      <c r="A10" s="9" t="s">
        <v>1010</v>
      </c>
      <c r="B10" s="9" t="s">
        <v>971</v>
      </c>
      <c r="C10" s="9" t="s">
        <v>1011</v>
      </c>
      <c r="D10" s="9" t="s">
        <v>1012</v>
      </c>
      <c r="E10" s="9" t="s">
        <v>1013</v>
      </c>
      <c r="F10" s="9" t="s">
        <v>975</v>
      </c>
      <c r="G10" s="9" t="s">
        <v>1014</v>
      </c>
      <c r="H10" s="9" t="s">
        <v>519</v>
      </c>
    </row>
    <row r="11" customFormat="false" ht="15" hidden="false" customHeight="false" outlineLevel="0" collapsed="false">
      <c r="A11" s="10" t="s">
        <v>1015</v>
      </c>
      <c r="B11" s="10" t="s">
        <v>971</v>
      </c>
      <c r="C11" s="10" t="s">
        <v>1016</v>
      </c>
      <c r="D11" s="10" t="s">
        <v>1017</v>
      </c>
      <c r="E11" s="10" t="s">
        <v>1018</v>
      </c>
      <c r="F11" s="10" t="s">
        <v>975</v>
      </c>
      <c r="G11" s="10" t="s">
        <v>1019</v>
      </c>
      <c r="H11" s="10" t="s">
        <v>519</v>
      </c>
    </row>
    <row r="12" customFormat="false" ht="15" hidden="false" customHeight="false" outlineLevel="0" collapsed="false">
      <c r="A12" s="9" t="s">
        <v>1020</v>
      </c>
      <c r="B12" s="9" t="s">
        <v>1021</v>
      </c>
      <c r="C12" s="9" t="s">
        <v>1022</v>
      </c>
      <c r="D12" s="9" t="s">
        <v>1023</v>
      </c>
      <c r="E12" s="9" t="s">
        <v>1024</v>
      </c>
      <c r="F12" s="9" t="s">
        <v>1025</v>
      </c>
      <c r="G12" s="9" t="s">
        <v>1026</v>
      </c>
      <c r="H12" s="9" t="s">
        <v>537</v>
      </c>
    </row>
    <row r="13" customFormat="false" ht="15" hidden="false" customHeight="false" outlineLevel="0" collapsed="false">
      <c r="A13" s="10" t="s">
        <v>1027</v>
      </c>
      <c r="B13" s="10" t="s">
        <v>971</v>
      </c>
      <c r="C13" s="10" t="s">
        <v>1028</v>
      </c>
      <c r="D13" s="10" t="s">
        <v>1029</v>
      </c>
      <c r="E13" s="10" t="s">
        <v>1030</v>
      </c>
      <c r="F13" s="10" t="s">
        <v>1031</v>
      </c>
      <c r="G13" s="10" t="s">
        <v>1014</v>
      </c>
      <c r="H13" s="10" t="s">
        <v>681</v>
      </c>
    </row>
    <row r="14" customFormat="false" ht="15" hidden="false" customHeight="false" outlineLevel="0" collapsed="false">
      <c r="A14" s="9" t="s">
        <v>1032</v>
      </c>
      <c r="B14" s="9" t="s">
        <v>971</v>
      </c>
      <c r="C14" s="9" t="s">
        <v>1033</v>
      </c>
      <c r="D14" s="9" t="s">
        <v>1034</v>
      </c>
      <c r="E14" s="9" t="s">
        <v>1035</v>
      </c>
      <c r="F14" s="9" t="s">
        <v>975</v>
      </c>
      <c r="G14" s="9" t="s">
        <v>1036</v>
      </c>
      <c r="H14" s="9" t="s">
        <v>648</v>
      </c>
    </row>
    <row r="15" customFormat="false" ht="15" hidden="false" customHeight="false" outlineLevel="0" collapsed="false">
      <c r="A15" s="10" t="s">
        <v>1037</v>
      </c>
      <c r="B15" s="10" t="s">
        <v>971</v>
      </c>
      <c r="C15" s="10" t="s">
        <v>567</v>
      </c>
      <c r="D15" s="10" t="s">
        <v>1038</v>
      </c>
      <c r="E15" s="10" t="s">
        <v>1039</v>
      </c>
      <c r="F15" s="10" t="s">
        <v>975</v>
      </c>
      <c r="G15" s="10" t="s">
        <v>1014</v>
      </c>
      <c r="H15" s="10" t="s">
        <v>566</v>
      </c>
    </row>
  </sheetData>
  <autoFilter ref="A1:H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4" min="3" style="0" width="32"/>
    <col collapsed="false" customWidth="true" hidden="false" outlineLevel="0" max="5" min="5" style="0" width="30"/>
    <col collapsed="false" customWidth="true" hidden="false" outlineLevel="0" max="6" min="6" style="0" width="28"/>
    <col collapsed="false" customWidth="true" hidden="false" outlineLevel="0" max="7" min="7" style="0" width="36"/>
    <col collapsed="false" customWidth="true" hidden="false" outlineLevel="0" max="8" min="8" style="0" width="38"/>
  </cols>
  <sheetData>
    <row r="1" customFormat="false" ht="30" hidden="false" customHeight="true" outlineLevel="0" collapsed="false">
      <c r="A1" s="8" t="s">
        <v>1040</v>
      </c>
      <c r="B1" s="8" t="s">
        <v>1041</v>
      </c>
      <c r="C1" s="8" t="s">
        <v>1042</v>
      </c>
      <c r="D1" s="8" t="s">
        <v>1043</v>
      </c>
      <c r="E1" s="8" t="s">
        <v>1044</v>
      </c>
      <c r="F1" s="8" t="s">
        <v>1045</v>
      </c>
      <c r="G1" s="8" t="s">
        <v>1046</v>
      </c>
      <c r="H1" s="8" t="s">
        <v>1047</v>
      </c>
    </row>
    <row r="2" customFormat="false" ht="28.35" hidden="false" customHeight="false" outlineLevel="0" collapsed="false">
      <c r="A2" s="9" t="s">
        <v>1048</v>
      </c>
      <c r="B2" s="9" t="s">
        <v>1049</v>
      </c>
      <c r="C2" s="9" t="s">
        <v>1050</v>
      </c>
      <c r="D2" s="9" t="s">
        <v>1051</v>
      </c>
      <c r="E2" s="9" t="s">
        <v>1052</v>
      </c>
      <c r="F2" s="9" t="s">
        <v>1053</v>
      </c>
      <c r="G2" s="9" t="s">
        <v>1054</v>
      </c>
      <c r="H2" s="9" t="s">
        <v>1055</v>
      </c>
    </row>
    <row r="3" customFormat="false" ht="28.35" hidden="false" customHeight="false" outlineLevel="0" collapsed="false">
      <c r="A3" s="10" t="s">
        <v>1056</v>
      </c>
      <c r="B3" s="10" t="s">
        <v>1057</v>
      </c>
      <c r="C3" s="10" t="s">
        <v>1058</v>
      </c>
      <c r="D3" s="10" t="s">
        <v>1059</v>
      </c>
      <c r="E3" s="10" t="s">
        <v>1060</v>
      </c>
      <c r="F3" s="10" t="s">
        <v>1061</v>
      </c>
      <c r="G3" s="10" t="s">
        <v>1062</v>
      </c>
      <c r="H3" s="10" t="s">
        <v>1063</v>
      </c>
    </row>
    <row r="4" customFormat="false" ht="28.35" hidden="false" customHeight="false" outlineLevel="0" collapsed="false">
      <c r="A4" s="9" t="s">
        <v>1064</v>
      </c>
      <c r="B4" s="9" t="s">
        <v>1065</v>
      </c>
      <c r="C4" s="9" t="s">
        <v>1066</v>
      </c>
      <c r="D4" s="9" t="s">
        <v>1067</v>
      </c>
      <c r="E4" s="9" t="s">
        <v>1068</v>
      </c>
      <c r="F4" s="9" t="s">
        <v>1069</v>
      </c>
      <c r="G4" s="9" t="s">
        <v>1070</v>
      </c>
      <c r="H4" s="9" t="s">
        <v>1071</v>
      </c>
    </row>
    <row r="5" customFormat="false" ht="28.35" hidden="false" customHeight="false" outlineLevel="0" collapsed="false">
      <c r="A5" s="10" t="s">
        <v>1072</v>
      </c>
      <c r="B5" s="10" t="s">
        <v>1073</v>
      </c>
      <c r="C5" s="10" t="s">
        <v>1074</v>
      </c>
      <c r="D5" s="10" t="s">
        <v>1075</v>
      </c>
      <c r="E5" s="10" t="s">
        <v>1076</v>
      </c>
      <c r="F5" s="10" t="s">
        <v>1077</v>
      </c>
      <c r="G5" s="10" t="s">
        <v>1078</v>
      </c>
      <c r="H5" s="10" t="s">
        <v>1079</v>
      </c>
    </row>
    <row r="6" customFormat="false" ht="15" hidden="false" customHeight="false" outlineLevel="0" collapsed="false">
      <c r="A6" s="9" t="s">
        <v>1080</v>
      </c>
      <c r="B6" s="9" t="s">
        <v>1081</v>
      </c>
      <c r="C6" s="9" t="s">
        <v>1082</v>
      </c>
      <c r="D6" s="9" t="s">
        <v>1083</v>
      </c>
      <c r="E6" s="9" t="s">
        <v>1084</v>
      </c>
      <c r="F6" s="9" t="s">
        <v>1085</v>
      </c>
      <c r="G6" s="9" t="s">
        <v>1086</v>
      </c>
      <c r="H6" s="9" t="s">
        <v>1087</v>
      </c>
    </row>
    <row r="7" customFormat="false" ht="28.35" hidden="false" customHeight="false" outlineLevel="0" collapsed="false">
      <c r="A7" s="10" t="s">
        <v>1088</v>
      </c>
      <c r="B7" s="10" t="s">
        <v>1089</v>
      </c>
      <c r="C7" s="10" t="s">
        <v>1090</v>
      </c>
      <c r="D7" s="10" t="s">
        <v>1091</v>
      </c>
      <c r="E7" s="10" t="s">
        <v>1092</v>
      </c>
      <c r="F7" s="10" t="s">
        <v>1093</v>
      </c>
      <c r="G7" s="10" t="s">
        <v>1094</v>
      </c>
      <c r="H7" s="10" t="s">
        <v>1095</v>
      </c>
    </row>
    <row r="8" customFormat="false" ht="15" hidden="false" customHeight="false" outlineLevel="0" collapsed="false">
      <c r="A8" s="9" t="s">
        <v>1096</v>
      </c>
      <c r="B8" s="9" t="s">
        <v>1097</v>
      </c>
      <c r="C8" s="9" t="s">
        <v>1098</v>
      </c>
      <c r="D8" s="9" t="s">
        <v>1099</v>
      </c>
      <c r="E8" s="9" t="s">
        <v>1100</v>
      </c>
      <c r="F8" s="9" t="s">
        <v>1101</v>
      </c>
      <c r="G8" s="9" t="s">
        <v>1102</v>
      </c>
      <c r="H8" s="9" t="s">
        <v>1103</v>
      </c>
    </row>
    <row r="9" customFormat="false" ht="28.35" hidden="false" customHeight="false" outlineLevel="0" collapsed="false">
      <c r="A9" s="10" t="s">
        <v>1104</v>
      </c>
      <c r="B9" s="10" t="s">
        <v>1105</v>
      </c>
      <c r="C9" s="10" t="s">
        <v>1106</v>
      </c>
      <c r="D9" s="10" t="s">
        <v>1107</v>
      </c>
      <c r="E9" s="10" t="s">
        <v>1108</v>
      </c>
      <c r="F9" s="10" t="s">
        <v>1109</v>
      </c>
      <c r="G9" s="10" t="s">
        <v>1110</v>
      </c>
      <c r="H9" s="10" t="s">
        <v>1111</v>
      </c>
    </row>
    <row r="10" customFormat="false" ht="28.35" hidden="false" customHeight="false" outlineLevel="0" collapsed="false">
      <c r="A10" s="9" t="s">
        <v>1112</v>
      </c>
      <c r="B10" s="9" t="s">
        <v>1113</v>
      </c>
      <c r="C10" s="9" t="s">
        <v>1114</v>
      </c>
      <c r="D10" s="9" t="s">
        <v>1115</v>
      </c>
      <c r="E10" s="9" t="s">
        <v>1116</v>
      </c>
      <c r="F10" s="9" t="s">
        <v>1117</v>
      </c>
      <c r="G10" s="9" t="s">
        <v>1118</v>
      </c>
      <c r="H10" s="9" t="s">
        <v>1119</v>
      </c>
    </row>
    <row r="11" customFormat="false" ht="28.35" hidden="false" customHeight="false" outlineLevel="0" collapsed="false">
      <c r="A11" s="10" t="s">
        <v>1120</v>
      </c>
      <c r="B11" s="10" t="s">
        <v>1121</v>
      </c>
      <c r="C11" s="10" t="s">
        <v>1122</v>
      </c>
      <c r="D11" s="10" t="s">
        <v>1123</v>
      </c>
      <c r="E11" s="10" t="s">
        <v>1124</v>
      </c>
      <c r="F11" s="10" t="s">
        <v>1125</v>
      </c>
      <c r="G11" s="10" t="s">
        <v>1126</v>
      </c>
      <c r="H11" s="10" t="s">
        <v>1127</v>
      </c>
    </row>
    <row r="12" customFormat="false" ht="15" hidden="false" customHeight="false" outlineLevel="0" collapsed="false">
      <c r="A12" s="9" t="s">
        <v>1128</v>
      </c>
      <c r="B12" s="9" t="s">
        <v>1129</v>
      </c>
      <c r="C12" s="9" t="s">
        <v>1130</v>
      </c>
      <c r="D12" s="9" t="s">
        <v>1131</v>
      </c>
      <c r="E12" s="9" t="s">
        <v>1132</v>
      </c>
      <c r="F12" s="9" t="s">
        <v>1133</v>
      </c>
      <c r="G12" s="9" t="s">
        <v>1134</v>
      </c>
      <c r="H12" s="9" t="s">
        <v>1135</v>
      </c>
    </row>
    <row r="13" customFormat="false" ht="28.35" hidden="false" customHeight="false" outlineLevel="0" collapsed="false">
      <c r="A13" s="10" t="s">
        <v>1136</v>
      </c>
      <c r="B13" s="10" t="s">
        <v>1137</v>
      </c>
      <c r="C13" s="10" t="s">
        <v>1138</v>
      </c>
      <c r="D13" s="10" t="s">
        <v>1139</v>
      </c>
      <c r="E13" s="10" t="s">
        <v>1140</v>
      </c>
      <c r="F13" s="10" t="s">
        <v>1141</v>
      </c>
      <c r="G13" s="10" t="s">
        <v>1142</v>
      </c>
      <c r="H13" s="10" t="s">
        <v>1143</v>
      </c>
    </row>
    <row r="14" customFormat="false" ht="15" hidden="false" customHeight="false" outlineLevel="0" collapsed="false">
      <c r="A14" s="9" t="s">
        <v>1144</v>
      </c>
      <c r="B14" s="9" t="s">
        <v>1145</v>
      </c>
      <c r="C14" s="9" t="s">
        <v>1146</v>
      </c>
      <c r="D14" s="9" t="s">
        <v>1147</v>
      </c>
      <c r="E14" s="9" t="s">
        <v>1148</v>
      </c>
      <c r="F14" s="9" t="s">
        <v>1149</v>
      </c>
      <c r="G14" s="9" t="s">
        <v>1150</v>
      </c>
      <c r="H14" s="9" t="s">
        <v>1151</v>
      </c>
    </row>
    <row r="15" customFormat="false" ht="28.35" hidden="false" customHeight="false" outlineLevel="0" collapsed="false">
      <c r="A15" s="10" t="s">
        <v>1152</v>
      </c>
      <c r="B15" s="10" t="s">
        <v>1153</v>
      </c>
      <c r="C15" s="10" t="s">
        <v>1154</v>
      </c>
      <c r="D15" s="10" t="s">
        <v>1155</v>
      </c>
      <c r="E15" s="10" t="s">
        <v>1156</v>
      </c>
      <c r="F15" s="10" t="s">
        <v>1157</v>
      </c>
      <c r="G15" s="10" t="s">
        <v>1158</v>
      </c>
      <c r="H15" s="10" t="s">
        <v>1159</v>
      </c>
    </row>
  </sheetData>
  <autoFilter ref="A1:H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0"/>
  </cols>
  <sheetData>
    <row r="1" customFormat="false" ht="30" hidden="false" customHeight="true" outlineLevel="0" collapsed="false">
      <c r="A1" s="8" t="s">
        <v>826</v>
      </c>
      <c r="B1" s="8" t="s">
        <v>1160</v>
      </c>
    </row>
    <row r="2" customFormat="false" ht="15" hidden="false" customHeight="false" outlineLevel="0" collapsed="false">
      <c r="A2" s="9" t="s">
        <v>1161</v>
      </c>
      <c r="B2" s="9" t="s">
        <v>1162</v>
      </c>
    </row>
    <row r="3" customFormat="false" ht="15" hidden="false" customHeight="false" outlineLevel="0" collapsed="false">
      <c r="A3" s="10" t="s">
        <v>1163</v>
      </c>
      <c r="B3" s="10" t="s">
        <v>1164</v>
      </c>
    </row>
    <row r="4" customFormat="false" ht="15" hidden="false" customHeight="false" outlineLevel="0" collapsed="false">
      <c r="A4" s="9" t="s">
        <v>1165</v>
      </c>
      <c r="B4" s="9" t="s">
        <v>1166</v>
      </c>
    </row>
    <row r="5" customFormat="false" ht="15" hidden="false" customHeight="false" outlineLevel="0" collapsed="false">
      <c r="A5" s="10" t="s">
        <v>1167</v>
      </c>
      <c r="B5" s="10" t="s">
        <v>1168</v>
      </c>
    </row>
    <row r="6" customFormat="false" ht="15" hidden="false" customHeight="false" outlineLevel="0" collapsed="false">
      <c r="A6" s="9" t="s">
        <v>1169</v>
      </c>
      <c r="B6" s="9" t="s">
        <v>1170</v>
      </c>
    </row>
    <row r="7" customFormat="false" ht="15" hidden="false" customHeight="false" outlineLevel="0" collapsed="false">
      <c r="A7" s="10" t="s">
        <v>1171</v>
      </c>
      <c r="B7" s="10" t="s">
        <v>1172</v>
      </c>
    </row>
    <row r="8" customFormat="false" ht="15" hidden="false" customHeight="false" outlineLevel="0" collapsed="false">
      <c r="A8" s="9" t="s">
        <v>1173</v>
      </c>
      <c r="B8" s="9" t="s">
        <v>1174</v>
      </c>
    </row>
    <row r="9" customFormat="false" ht="15" hidden="false" customHeight="false" outlineLevel="0" collapsed="false">
      <c r="A9" s="10" t="s">
        <v>820</v>
      </c>
      <c r="B9" s="10" t="s">
        <v>1175</v>
      </c>
    </row>
    <row r="10" customFormat="false" ht="15" hidden="false" customHeight="false" outlineLevel="0" collapsed="false">
      <c r="A10" s="9" t="s">
        <v>1176</v>
      </c>
      <c r="B10" s="9" t="s">
        <v>1177</v>
      </c>
    </row>
    <row r="11" customFormat="false" ht="15" hidden="false" customHeight="false" outlineLevel="0" collapsed="false">
      <c r="A11" s="10" t="s">
        <v>1178</v>
      </c>
      <c r="B11" s="10" t="s">
        <v>1179</v>
      </c>
    </row>
    <row r="12" customFormat="false" ht="15" hidden="false" customHeight="false" outlineLevel="0" collapsed="false">
      <c r="A12" s="9" t="s">
        <v>1180</v>
      </c>
      <c r="B12" s="9" t="s">
        <v>1181</v>
      </c>
    </row>
    <row r="13" customFormat="false" ht="15" hidden="false" customHeight="false" outlineLevel="0" collapsed="false">
      <c r="A13" s="10" t="s">
        <v>1182</v>
      </c>
      <c r="B13" s="10" t="s">
        <v>1183</v>
      </c>
    </row>
  </sheetData>
  <autoFilter ref="A1:B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90"/>
    <col collapsed="false" customWidth="true" hidden="false" outlineLevel="0" max="5" min="5" style="0" width="10"/>
  </cols>
  <sheetData>
    <row r="1" customFormat="false" ht="30" hidden="false" customHeight="true" outlineLevel="0" collapsed="false">
      <c r="A1" s="8" t="s">
        <v>1184</v>
      </c>
      <c r="B1" s="8" t="s">
        <v>1185</v>
      </c>
      <c r="C1" s="8" t="s">
        <v>1186</v>
      </c>
      <c r="D1" s="8" t="s">
        <v>1187</v>
      </c>
      <c r="E1" s="8" t="s">
        <v>1188</v>
      </c>
    </row>
    <row r="2" customFormat="false" ht="28.35" hidden="false" customHeight="false" outlineLevel="0" collapsed="false">
      <c r="A2" s="9" t="s">
        <v>1189</v>
      </c>
      <c r="B2" s="9" t="s">
        <v>1190</v>
      </c>
      <c r="C2" s="9" t="s">
        <v>1191</v>
      </c>
      <c r="D2" s="9" t="s">
        <v>1192</v>
      </c>
      <c r="E2" s="9" t="s">
        <v>1188</v>
      </c>
    </row>
    <row r="3" customFormat="false" ht="15" hidden="false" customHeight="false" outlineLevel="0" collapsed="false">
      <c r="A3" s="10" t="s">
        <v>1193</v>
      </c>
      <c r="B3" s="10" t="s">
        <v>1190</v>
      </c>
      <c r="C3" s="10" t="s">
        <v>1191</v>
      </c>
      <c r="D3" s="10" t="s">
        <v>1194</v>
      </c>
      <c r="E3" s="10" t="s">
        <v>1188</v>
      </c>
    </row>
    <row r="4" customFormat="false" ht="15" hidden="false" customHeight="false" outlineLevel="0" collapsed="false">
      <c r="A4" s="9" t="s">
        <v>1195</v>
      </c>
      <c r="B4" s="9" t="s">
        <v>1191</v>
      </c>
      <c r="C4" s="9" t="s">
        <v>1191</v>
      </c>
      <c r="D4" s="9" t="s">
        <v>1196</v>
      </c>
      <c r="E4" s="9" t="s">
        <v>1188</v>
      </c>
    </row>
    <row r="5" customFormat="false" ht="15" hidden="false" customHeight="false" outlineLevel="0" collapsed="false">
      <c r="A5" s="10" t="s">
        <v>1197</v>
      </c>
      <c r="B5" s="10" t="s">
        <v>1190</v>
      </c>
      <c r="C5" s="10" t="s">
        <v>1191</v>
      </c>
      <c r="D5" s="10" t="s">
        <v>1198</v>
      </c>
      <c r="E5" s="10" t="s">
        <v>1188</v>
      </c>
    </row>
    <row r="6" customFormat="false" ht="28.35" hidden="false" customHeight="false" outlineLevel="0" collapsed="false">
      <c r="A6" s="9" t="s">
        <v>1199</v>
      </c>
      <c r="B6" s="9" t="s">
        <v>1191</v>
      </c>
      <c r="C6" s="9" t="s">
        <v>1191</v>
      </c>
      <c r="D6" s="9" t="s">
        <v>1200</v>
      </c>
      <c r="E6" s="9" t="s">
        <v>1188</v>
      </c>
    </row>
    <row r="7" customFormat="false" ht="15" hidden="false" customHeight="false" outlineLevel="0" collapsed="false">
      <c r="A7" s="10" t="s">
        <v>1201</v>
      </c>
      <c r="B7" s="10" t="s">
        <v>1191</v>
      </c>
      <c r="C7" s="10" t="s">
        <v>1190</v>
      </c>
      <c r="D7" s="10" t="s">
        <v>1202</v>
      </c>
      <c r="E7" s="10" t="s">
        <v>1188</v>
      </c>
    </row>
    <row r="8" customFormat="false" ht="15" hidden="false" customHeight="false" outlineLevel="0" collapsed="false">
      <c r="A8" s="9" t="s">
        <v>1203</v>
      </c>
      <c r="B8" s="9" t="s">
        <v>1191</v>
      </c>
      <c r="C8" s="9" t="s">
        <v>1191</v>
      </c>
      <c r="D8" s="9" t="s">
        <v>1204</v>
      </c>
      <c r="E8" s="9" t="s">
        <v>1188</v>
      </c>
    </row>
    <row r="9" customFormat="false" ht="15" hidden="false" customHeight="false" outlineLevel="0" collapsed="false">
      <c r="A9" s="10" t="s">
        <v>1205</v>
      </c>
      <c r="B9" s="10" t="s">
        <v>1190</v>
      </c>
      <c r="C9" s="10" t="s">
        <v>1206</v>
      </c>
      <c r="D9" s="10" t="s">
        <v>1207</v>
      </c>
      <c r="E9" s="10" t="s">
        <v>1188</v>
      </c>
    </row>
    <row r="10" customFormat="false" ht="15" hidden="false" customHeight="false" outlineLevel="0" collapsed="false">
      <c r="A10" s="9" t="s">
        <v>1208</v>
      </c>
      <c r="B10" s="9" t="s">
        <v>1191</v>
      </c>
      <c r="C10" s="9" t="s">
        <v>1191</v>
      </c>
      <c r="D10" s="9" t="s">
        <v>1209</v>
      </c>
      <c r="E10" s="9" t="s">
        <v>1188</v>
      </c>
    </row>
    <row r="11" customFormat="false" ht="28.35" hidden="false" customHeight="false" outlineLevel="0" collapsed="false">
      <c r="A11" s="10" t="s">
        <v>1210</v>
      </c>
      <c r="B11" s="10" t="s">
        <v>1191</v>
      </c>
      <c r="C11" s="10" t="s">
        <v>1191</v>
      </c>
      <c r="D11" s="10" t="s">
        <v>1211</v>
      </c>
      <c r="E11" s="10" t="s">
        <v>1188</v>
      </c>
    </row>
    <row r="12" customFormat="false" ht="15" hidden="false" customHeight="false" outlineLevel="0" collapsed="false">
      <c r="A12" s="9" t="s">
        <v>1212</v>
      </c>
      <c r="B12" s="9" t="s">
        <v>1191</v>
      </c>
      <c r="C12" s="9" t="s">
        <v>1191</v>
      </c>
      <c r="D12" s="9" t="s">
        <v>1213</v>
      </c>
      <c r="E12" s="9" t="s">
        <v>1188</v>
      </c>
    </row>
    <row r="13" customFormat="false" ht="15" hidden="false" customHeight="false" outlineLevel="0" collapsed="false">
      <c r="A13" s="10" t="s">
        <v>1214</v>
      </c>
      <c r="B13" s="10" t="s">
        <v>1206</v>
      </c>
      <c r="C13" s="10" t="s">
        <v>1191</v>
      </c>
      <c r="D13" s="10" t="s">
        <v>1215</v>
      </c>
      <c r="E13" s="10" t="s">
        <v>1188</v>
      </c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0"/>
  </cols>
  <sheetData>
    <row r="1" customFormat="false" ht="30" hidden="false" customHeight="true" outlineLevel="0" collapsed="false">
      <c r="A1" s="8" t="s">
        <v>757</v>
      </c>
      <c r="B1" s="8" t="s">
        <v>1216</v>
      </c>
    </row>
    <row r="2" customFormat="false" ht="15" hidden="false" customHeight="false" outlineLevel="0" collapsed="false">
      <c r="A2" s="9" t="s">
        <v>1217</v>
      </c>
      <c r="B2" s="9" t="s">
        <v>1218</v>
      </c>
    </row>
    <row r="3" customFormat="false" ht="15" hidden="false" customHeight="false" outlineLevel="0" collapsed="false">
      <c r="A3" s="10" t="s">
        <v>1217</v>
      </c>
      <c r="B3" s="10" t="s">
        <v>1219</v>
      </c>
    </row>
    <row r="4" customFormat="false" ht="15" hidden="false" customHeight="false" outlineLevel="0" collapsed="false">
      <c r="A4" s="9" t="s">
        <v>1220</v>
      </c>
      <c r="B4" s="9" t="s">
        <v>1221</v>
      </c>
    </row>
    <row r="5" customFormat="false" ht="15" hidden="false" customHeight="false" outlineLevel="0" collapsed="false">
      <c r="A5" s="10" t="s">
        <v>378</v>
      </c>
      <c r="B5" s="10" t="s">
        <v>1222</v>
      </c>
    </row>
    <row r="6" customFormat="false" ht="15" hidden="false" customHeight="false" outlineLevel="0" collapsed="false">
      <c r="A6" s="9" t="s">
        <v>804</v>
      </c>
      <c r="B6" s="9" t="s">
        <v>1223</v>
      </c>
    </row>
    <row r="7" customFormat="false" ht="15" hidden="false" customHeight="false" outlineLevel="0" collapsed="false">
      <c r="A7" s="10" t="s">
        <v>1224</v>
      </c>
      <c r="B7" s="10" t="s">
        <v>1225</v>
      </c>
    </row>
    <row r="8" customFormat="false" ht="15" hidden="false" customHeight="false" outlineLevel="0" collapsed="false">
      <c r="A8" s="9" t="s">
        <v>1224</v>
      </c>
      <c r="B8" s="9" t="s">
        <v>1226</v>
      </c>
    </row>
    <row r="9" customFormat="false" ht="15" hidden="false" customHeight="false" outlineLevel="0" collapsed="false">
      <c r="A9" s="10" t="s">
        <v>1227</v>
      </c>
      <c r="B9" s="10" t="s">
        <v>1228</v>
      </c>
    </row>
    <row r="10" customFormat="false" ht="15" hidden="false" customHeight="false" outlineLevel="0" collapsed="false">
      <c r="A10" s="9" t="s">
        <v>1227</v>
      </c>
      <c r="B10" s="9" t="s">
        <v>1229</v>
      </c>
    </row>
    <row r="11" customFormat="false" ht="15" hidden="false" customHeight="false" outlineLevel="0" collapsed="false">
      <c r="A11" s="10" t="s">
        <v>1227</v>
      </c>
      <c r="B11" s="10" t="s">
        <v>1230</v>
      </c>
    </row>
    <row r="12" customFormat="false" ht="15" hidden="false" customHeight="false" outlineLevel="0" collapsed="false">
      <c r="A12" s="9" t="s">
        <v>1231</v>
      </c>
      <c r="B12" s="9" t="s">
        <v>1232</v>
      </c>
    </row>
    <row r="13" customFormat="false" ht="15" hidden="false" customHeight="false" outlineLevel="0" collapsed="false">
      <c r="A13" s="10" t="s">
        <v>1233</v>
      </c>
      <c r="B13" s="10" t="s">
        <v>1234</v>
      </c>
    </row>
  </sheetData>
  <autoFilter ref="A1:B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K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5" min="5" style="0" width="90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8"/>
    <col collapsed="false" customWidth="true" hidden="false" outlineLevel="0" max="11" min="11" style="0" width="36"/>
  </cols>
  <sheetData>
    <row r="1" customFormat="false" ht="30" hidden="false" customHeight="true" outlineLevel="0" collapsed="false">
      <c r="A1" s="8" t="s">
        <v>1235</v>
      </c>
      <c r="B1" s="8" t="s">
        <v>1236</v>
      </c>
      <c r="C1" s="8" t="s">
        <v>1237</v>
      </c>
      <c r="D1" s="8" t="s">
        <v>1238</v>
      </c>
      <c r="E1" s="8" t="s">
        <v>69</v>
      </c>
      <c r="F1" s="8" t="s">
        <v>12</v>
      </c>
      <c r="G1" s="8" t="s">
        <v>14</v>
      </c>
      <c r="H1" s="8" t="s">
        <v>385</v>
      </c>
      <c r="I1" s="8" t="s">
        <v>386</v>
      </c>
      <c r="J1" s="8" t="s">
        <v>387</v>
      </c>
      <c r="K1" s="8" t="s">
        <v>1239</v>
      </c>
    </row>
    <row r="2" customFormat="false" ht="15" hidden="false" customHeight="false" outlineLevel="0" collapsed="false">
      <c r="A2" s="9" t="s">
        <v>1240</v>
      </c>
      <c r="B2" s="9" t="s">
        <v>1241</v>
      </c>
      <c r="C2" s="9" t="s">
        <v>130</v>
      </c>
      <c r="D2" s="9" t="s">
        <v>1240</v>
      </c>
      <c r="E2" s="9" t="s">
        <v>1242</v>
      </c>
      <c r="F2" s="13" t="s">
        <v>128</v>
      </c>
      <c r="G2" s="9"/>
      <c r="H2" s="9"/>
      <c r="I2" s="9"/>
      <c r="J2" s="9"/>
      <c r="K2" s="9" t="s">
        <v>1243</v>
      </c>
    </row>
    <row r="3" customFormat="false" ht="15" hidden="false" customHeight="false" outlineLevel="0" collapsed="false">
      <c r="A3" s="10" t="s">
        <v>215</v>
      </c>
      <c r="B3" s="10" t="s">
        <v>124</v>
      </c>
      <c r="C3" s="10" t="s">
        <v>1241</v>
      </c>
      <c r="D3" s="10" t="s">
        <v>215</v>
      </c>
      <c r="E3" s="10" t="s">
        <v>125</v>
      </c>
      <c r="F3" s="13" t="s">
        <v>128</v>
      </c>
      <c r="G3" s="10"/>
      <c r="H3" s="10" t="s">
        <v>393</v>
      </c>
      <c r="I3" s="10"/>
      <c r="J3" s="10"/>
      <c r="K3" s="10" t="s">
        <v>1244</v>
      </c>
    </row>
    <row r="4" customFormat="false" ht="15" hidden="false" customHeight="false" outlineLevel="0" collapsed="false">
      <c r="A4" s="9" t="s">
        <v>215</v>
      </c>
      <c r="B4" s="9" t="s">
        <v>133</v>
      </c>
      <c r="C4" s="9" t="s">
        <v>1241</v>
      </c>
      <c r="D4" s="9" t="s">
        <v>215</v>
      </c>
      <c r="E4" s="9" t="s">
        <v>134</v>
      </c>
      <c r="F4" s="13" t="s">
        <v>128</v>
      </c>
      <c r="G4" s="9"/>
      <c r="H4" s="9" t="s">
        <v>393</v>
      </c>
      <c r="I4" s="9"/>
      <c r="J4" s="9"/>
      <c r="K4" s="9" t="s">
        <v>1245</v>
      </c>
    </row>
    <row r="5" customFormat="false" ht="15" hidden="false" customHeight="false" outlineLevel="0" collapsed="false">
      <c r="A5" s="10" t="s">
        <v>215</v>
      </c>
      <c r="B5" s="10" t="s">
        <v>138</v>
      </c>
      <c r="C5" s="10" t="s">
        <v>1241</v>
      </c>
      <c r="D5" s="10" t="s">
        <v>215</v>
      </c>
      <c r="E5" s="10" t="s">
        <v>139</v>
      </c>
      <c r="F5" s="13" t="s">
        <v>128</v>
      </c>
      <c r="G5" s="10"/>
      <c r="H5" s="10" t="s">
        <v>1246</v>
      </c>
      <c r="I5" s="10"/>
      <c r="J5" s="10"/>
      <c r="K5" s="10" t="s">
        <v>1247</v>
      </c>
    </row>
    <row r="6" customFormat="false" ht="15" hidden="false" customHeight="false" outlineLevel="0" collapsed="false">
      <c r="A6" s="9" t="s">
        <v>215</v>
      </c>
      <c r="B6" s="9" t="s">
        <v>144</v>
      </c>
      <c r="C6" s="9" t="s">
        <v>1241</v>
      </c>
      <c r="D6" s="9" t="s">
        <v>215</v>
      </c>
      <c r="E6" s="9" t="s">
        <v>145</v>
      </c>
      <c r="F6" s="13" t="s">
        <v>128</v>
      </c>
      <c r="G6" s="9"/>
      <c r="H6" s="9" t="s">
        <v>424</v>
      </c>
      <c r="I6" s="9"/>
      <c r="J6" s="9"/>
      <c r="K6" s="9" t="s">
        <v>1248</v>
      </c>
    </row>
    <row r="7" customFormat="false" ht="15" hidden="false" customHeight="false" outlineLevel="0" collapsed="false">
      <c r="A7" s="10" t="s">
        <v>215</v>
      </c>
      <c r="B7" s="10" t="s">
        <v>150</v>
      </c>
      <c r="C7" s="10" t="s">
        <v>1241</v>
      </c>
      <c r="D7" s="10" t="s">
        <v>215</v>
      </c>
      <c r="E7" s="10" t="s">
        <v>151</v>
      </c>
      <c r="F7" s="13" t="s">
        <v>128</v>
      </c>
      <c r="G7" s="10"/>
      <c r="H7" s="10" t="s">
        <v>455</v>
      </c>
      <c r="I7" s="10"/>
      <c r="J7" s="10"/>
      <c r="K7" s="10" t="s">
        <v>1249</v>
      </c>
    </row>
    <row r="8" customFormat="false" ht="15" hidden="false" customHeight="false" outlineLevel="0" collapsed="false">
      <c r="A8" s="9" t="s">
        <v>215</v>
      </c>
      <c r="B8" s="9" t="s">
        <v>157</v>
      </c>
      <c r="C8" s="9" t="s">
        <v>1241</v>
      </c>
      <c r="D8" s="9" t="s">
        <v>215</v>
      </c>
      <c r="E8" s="9" t="s">
        <v>158</v>
      </c>
      <c r="F8" s="15" t="s">
        <v>161</v>
      </c>
      <c r="G8" s="9"/>
      <c r="H8" s="9" t="s">
        <v>455</v>
      </c>
      <c r="I8" s="9"/>
      <c r="J8" s="9"/>
      <c r="K8" s="9" t="s">
        <v>1250</v>
      </c>
    </row>
    <row r="9" customFormat="false" ht="15" hidden="false" customHeight="false" outlineLevel="0" collapsed="false">
      <c r="A9" s="10" t="s">
        <v>215</v>
      </c>
      <c r="B9" s="10" t="s">
        <v>163</v>
      </c>
      <c r="C9" s="10" t="s">
        <v>1241</v>
      </c>
      <c r="D9" s="10" t="s">
        <v>215</v>
      </c>
      <c r="E9" s="10" t="s">
        <v>164</v>
      </c>
      <c r="F9" s="15" t="s">
        <v>161</v>
      </c>
      <c r="G9" s="10"/>
      <c r="H9" s="10" t="s">
        <v>1251</v>
      </c>
      <c r="I9" s="10"/>
      <c r="J9" s="10"/>
      <c r="K9" s="10" t="s">
        <v>1252</v>
      </c>
    </row>
    <row r="10" customFormat="false" ht="15" hidden="false" customHeight="false" outlineLevel="0" collapsed="false">
      <c r="A10" s="9" t="s">
        <v>215</v>
      </c>
      <c r="B10" s="9" t="s">
        <v>169</v>
      </c>
      <c r="C10" s="9" t="s">
        <v>1241</v>
      </c>
      <c r="D10" s="9" t="s">
        <v>215</v>
      </c>
      <c r="E10" s="9" t="s">
        <v>170</v>
      </c>
      <c r="F10" s="15" t="s">
        <v>161</v>
      </c>
      <c r="G10" s="9"/>
      <c r="H10" s="9" t="s">
        <v>509</v>
      </c>
      <c r="I10" s="9"/>
      <c r="J10" s="9"/>
      <c r="K10" s="9" t="s">
        <v>1253</v>
      </c>
    </row>
    <row r="11" customFormat="false" ht="15" hidden="false" customHeight="false" outlineLevel="0" collapsed="false">
      <c r="A11" s="10" t="s">
        <v>215</v>
      </c>
      <c r="B11" s="10" t="s">
        <v>175</v>
      </c>
      <c r="C11" s="10" t="s">
        <v>1241</v>
      </c>
      <c r="D11" s="10" t="s">
        <v>215</v>
      </c>
      <c r="E11" s="10" t="s">
        <v>176</v>
      </c>
      <c r="F11" s="15" t="s">
        <v>161</v>
      </c>
      <c r="G11" s="10"/>
      <c r="H11" s="10" t="s">
        <v>1254</v>
      </c>
      <c r="I11" s="10"/>
      <c r="J11" s="10"/>
      <c r="K11" s="10" t="s">
        <v>1255</v>
      </c>
    </row>
    <row r="12" customFormat="false" ht="15" hidden="false" customHeight="false" outlineLevel="0" collapsed="false">
      <c r="A12" s="9" t="s">
        <v>215</v>
      </c>
      <c r="B12" s="9" t="s">
        <v>182</v>
      </c>
      <c r="C12" s="9" t="s">
        <v>1241</v>
      </c>
      <c r="D12" s="9" t="s">
        <v>215</v>
      </c>
      <c r="E12" s="9" t="s">
        <v>183</v>
      </c>
      <c r="F12" s="15" t="s">
        <v>161</v>
      </c>
      <c r="G12" s="9"/>
      <c r="H12" s="9" t="s">
        <v>579</v>
      </c>
      <c r="I12" s="9"/>
      <c r="J12" s="9"/>
      <c r="K12" s="9" t="s">
        <v>1256</v>
      </c>
    </row>
    <row r="13" customFormat="false" ht="15" hidden="false" customHeight="false" outlineLevel="0" collapsed="false">
      <c r="A13" s="10" t="s">
        <v>215</v>
      </c>
      <c r="B13" s="10" t="s">
        <v>188</v>
      </c>
      <c r="C13" s="10" t="s">
        <v>1241</v>
      </c>
      <c r="D13" s="10" t="s">
        <v>215</v>
      </c>
      <c r="E13" s="10" t="s">
        <v>189</v>
      </c>
      <c r="F13" s="16" t="s">
        <v>192</v>
      </c>
      <c r="G13" s="10"/>
      <c r="H13" s="10" t="s">
        <v>579</v>
      </c>
      <c r="I13" s="10"/>
      <c r="J13" s="10"/>
      <c r="K13" s="10" t="s">
        <v>1257</v>
      </c>
    </row>
    <row r="14" customFormat="false" ht="15" hidden="false" customHeight="false" outlineLevel="0" collapsed="false">
      <c r="A14" s="9" t="s">
        <v>215</v>
      </c>
      <c r="B14" s="9" t="s">
        <v>194</v>
      </c>
      <c r="C14" s="9" t="s">
        <v>1241</v>
      </c>
      <c r="D14" s="9" t="s">
        <v>215</v>
      </c>
      <c r="E14" s="9" t="s">
        <v>195</v>
      </c>
      <c r="F14" s="16" t="s">
        <v>192</v>
      </c>
      <c r="G14" s="9"/>
      <c r="H14" s="9" t="s">
        <v>637</v>
      </c>
      <c r="I14" s="9"/>
      <c r="J14" s="9"/>
      <c r="K14" s="9" t="s">
        <v>1258</v>
      </c>
    </row>
    <row r="15" customFormat="false" ht="15" hidden="false" customHeight="false" outlineLevel="0" collapsed="false">
      <c r="A15" s="10" t="s">
        <v>215</v>
      </c>
      <c r="B15" s="10" t="s">
        <v>201</v>
      </c>
      <c r="C15" s="10" t="s">
        <v>1241</v>
      </c>
      <c r="D15" s="10" t="s">
        <v>215</v>
      </c>
      <c r="E15" s="10" t="s">
        <v>202</v>
      </c>
      <c r="F15" s="13" t="s">
        <v>128</v>
      </c>
      <c r="G15" s="10"/>
      <c r="H15" s="10" t="s">
        <v>1259</v>
      </c>
      <c r="I15" s="10"/>
      <c r="J15" s="10"/>
      <c r="K15" s="10" t="s">
        <v>1260</v>
      </c>
    </row>
    <row r="16" customFormat="false" ht="15" hidden="false" customHeight="false" outlineLevel="0" collapsed="false">
      <c r="A16" s="9" t="s">
        <v>215</v>
      </c>
      <c r="B16" s="9" t="s">
        <v>208</v>
      </c>
      <c r="C16" s="9" t="s">
        <v>1241</v>
      </c>
      <c r="D16" s="9" t="s">
        <v>215</v>
      </c>
      <c r="E16" s="9" t="s">
        <v>209</v>
      </c>
      <c r="F16" s="15" t="s">
        <v>161</v>
      </c>
      <c r="G16" s="9"/>
      <c r="H16" s="9" t="s">
        <v>1261</v>
      </c>
      <c r="I16" s="9"/>
      <c r="J16" s="9"/>
      <c r="K16" s="9" t="s">
        <v>1262</v>
      </c>
    </row>
    <row r="17" customFormat="false" ht="15" hidden="false" customHeight="false" outlineLevel="0" collapsed="false">
      <c r="A17" s="10" t="s">
        <v>381</v>
      </c>
      <c r="B17" s="10" t="s">
        <v>217</v>
      </c>
      <c r="C17" s="10" t="s">
        <v>124</v>
      </c>
      <c r="D17" s="10" t="s">
        <v>1263</v>
      </c>
      <c r="E17" s="10" t="s">
        <v>218</v>
      </c>
      <c r="F17" s="13" t="s">
        <v>128</v>
      </c>
      <c r="G17" s="10"/>
      <c r="H17" s="10"/>
      <c r="I17" s="10"/>
      <c r="J17" s="10"/>
      <c r="K17" s="10" t="s">
        <v>1264</v>
      </c>
    </row>
    <row r="18" customFormat="false" ht="15" hidden="false" customHeight="false" outlineLevel="0" collapsed="false">
      <c r="A18" s="9" t="s">
        <v>381</v>
      </c>
      <c r="B18" s="9" t="s">
        <v>221</v>
      </c>
      <c r="C18" s="9" t="s">
        <v>124</v>
      </c>
      <c r="D18" s="9" t="s">
        <v>1263</v>
      </c>
      <c r="E18" s="9" t="s">
        <v>222</v>
      </c>
      <c r="F18" s="13" t="s">
        <v>128</v>
      </c>
      <c r="G18" s="9"/>
      <c r="H18" s="9"/>
      <c r="I18" s="9"/>
      <c r="J18" s="9"/>
      <c r="K18" s="9" t="s">
        <v>1265</v>
      </c>
    </row>
    <row r="19" customFormat="false" ht="15" hidden="false" customHeight="false" outlineLevel="0" collapsed="false">
      <c r="A19" s="10" t="s">
        <v>381</v>
      </c>
      <c r="B19" s="10" t="s">
        <v>224</v>
      </c>
      <c r="C19" s="10" t="s">
        <v>124</v>
      </c>
      <c r="D19" s="10" t="s">
        <v>1263</v>
      </c>
      <c r="E19" s="10" t="s">
        <v>225</v>
      </c>
      <c r="F19" s="13" t="s">
        <v>128</v>
      </c>
      <c r="G19" s="10"/>
      <c r="H19" s="10"/>
      <c r="I19" s="10"/>
      <c r="J19" s="10"/>
      <c r="K19" s="10" t="s">
        <v>1266</v>
      </c>
    </row>
    <row r="20" customFormat="false" ht="15" hidden="false" customHeight="false" outlineLevel="0" collapsed="false">
      <c r="A20" s="9" t="s">
        <v>381</v>
      </c>
      <c r="B20" s="9" t="s">
        <v>228</v>
      </c>
      <c r="C20" s="9" t="s">
        <v>133</v>
      </c>
      <c r="D20" s="9" t="s">
        <v>1263</v>
      </c>
      <c r="E20" s="9" t="s">
        <v>229</v>
      </c>
      <c r="F20" s="13" t="s">
        <v>128</v>
      </c>
      <c r="G20" s="9"/>
      <c r="H20" s="9"/>
      <c r="I20" s="9"/>
      <c r="J20" s="9"/>
      <c r="K20" s="9" t="s">
        <v>1267</v>
      </c>
    </row>
    <row r="21" customFormat="false" ht="15" hidden="false" customHeight="false" outlineLevel="0" collapsed="false">
      <c r="A21" s="10" t="s">
        <v>381</v>
      </c>
      <c r="B21" s="10" t="s">
        <v>231</v>
      </c>
      <c r="C21" s="10" t="s">
        <v>133</v>
      </c>
      <c r="D21" s="10" t="s">
        <v>1263</v>
      </c>
      <c r="E21" s="10" t="s">
        <v>232</v>
      </c>
      <c r="F21" s="13" t="s">
        <v>128</v>
      </c>
      <c r="G21" s="10"/>
      <c r="H21" s="10"/>
      <c r="I21" s="10"/>
      <c r="J21" s="10"/>
      <c r="K21" s="10" t="s">
        <v>1268</v>
      </c>
    </row>
    <row r="22" customFormat="false" ht="15" hidden="false" customHeight="false" outlineLevel="0" collapsed="false">
      <c r="A22" s="9" t="s">
        <v>381</v>
      </c>
      <c r="B22" s="9" t="s">
        <v>234</v>
      </c>
      <c r="C22" s="9" t="s">
        <v>133</v>
      </c>
      <c r="D22" s="9" t="s">
        <v>1263</v>
      </c>
      <c r="E22" s="9" t="s">
        <v>235</v>
      </c>
      <c r="F22" s="16" t="s">
        <v>192</v>
      </c>
      <c r="G22" s="9"/>
      <c r="H22" s="9"/>
      <c r="I22" s="9"/>
      <c r="J22" s="9"/>
      <c r="K22" s="9" t="s">
        <v>1269</v>
      </c>
    </row>
    <row r="23" customFormat="false" ht="15" hidden="false" customHeight="false" outlineLevel="0" collapsed="false">
      <c r="A23" s="10" t="s">
        <v>381</v>
      </c>
      <c r="B23" s="10" t="s">
        <v>237</v>
      </c>
      <c r="C23" s="10" t="s">
        <v>133</v>
      </c>
      <c r="D23" s="10" t="s">
        <v>1263</v>
      </c>
      <c r="E23" s="10" t="s">
        <v>238</v>
      </c>
      <c r="F23" s="15" t="s">
        <v>161</v>
      </c>
      <c r="G23" s="10"/>
      <c r="H23" s="10"/>
      <c r="I23" s="10"/>
      <c r="J23" s="10"/>
      <c r="K23" s="10" t="s">
        <v>1270</v>
      </c>
    </row>
    <row r="24" customFormat="false" ht="15" hidden="false" customHeight="false" outlineLevel="0" collapsed="false">
      <c r="A24" s="9" t="s">
        <v>381</v>
      </c>
      <c r="B24" s="9" t="s">
        <v>240</v>
      </c>
      <c r="C24" s="9" t="s">
        <v>138</v>
      </c>
      <c r="D24" s="9" t="s">
        <v>1263</v>
      </c>
      <c r="E24" s="9" t="s">
        <v>241</v>
      </c>
      <c r="F24" s="13" t="s">
        <v>128</v>
      </c>
      <c r="G24" s="9"/>
      <c r="H24" s="9"/>
      <c r="I24" s="9"/>
      <c r="J24" s="9"/>
      <c r="K24" s="9" t="s">
        <v>1271</v>
      </c>
    </row>
    <row r="25" customFormat="false" ht="15" hidden="false" customHeight="false" outlineLevel="0" collapsed="false">
      <c r="A25" s="10" t="s">
        <v>381</v>
      </c>
      <c r="B25" s="10" t="s">
        <v>243</v>
      </c>
      <c r="C25" s="10" t="s">
        <v>138</v>
      </c>
      <c r="D25" s="10" t="s">
        <v>1263</v>
      </c>
      <c r="E25" s="10" t="s">
        <v>244</v>
      </c>
      <c r="F25" s="13" t="s">
        <v>128</v>
      </c>
      <c r="G25" s="10"/>
      <c r="H25" s="10"/>
      <c r="I25" s="10"/>
      <c r="J25" s="10"/>
      <c r="K25" s="10" t="s">
        <v>1272</v>
      </c>
    </row>
    <row r="26" customFormat="false" ht="15" hidden="false" customHeight="false" outlineLevel="0" collapsed="false">
      <c r="A26" s="9" t="s">
        <v>381</v>
      </c>
      <c r="B26" s="9" t="s">
        <v>246</v>
      </c>
      <c r="C26" s="9" t="s">
        <v>138</v>
      </c>
      <c r="D26" s="9" t="s">
        <v>1263</v>
      </c>
      <c r="E26" s="9" t="s">
        <v>247</v>
      </c>
      <c r="F26" s="16" t="s">
        <v>192</v>
      </c>
      <c r="G26" s="9"/>
      <c r="H26" s="9"/>
      <c r="I26" s="9"/>
      <c r="J26" s="9"/>
      <c r="K26" s="9" t="s">
        <v>1273</v>
      </c>
    </row>
    <row r="27" customFormat="false" ht="15" hidden="false" customHeight="false" outlineLevel="0" collapsed="false">
      <c r="A27" s="10" t="s">
        <v>381</v>
      </c>
      <c r="B27" s="10" t="s">
        <v>249</v>
      </c>
      <c r="C27" s="10" t="s">
        <v>138</v>
      </c>
      <c r="D27" s="10" t="s">
        <v>1263</v>
      </c>
      <c r="E27" s="10" t="s">
        <v>250</v>
      </c>
      <c r="F27" s="16" t="s">
        <v>192</v>
      </c>
      <c r="G27" s="10"/>
      <c r="H27" s="10"/>
      <c r="I27" s="10"/>
      <c r="J27" s="10"/>
      <c r="K27" s="10" t="s">
        <v>1274</v>
      </c>
    </row>
    <row r="28" customFormat="false" ht="15" hidden="false" customHeight="false" outlineLevel="0" collapsed="false">
      <c r="A28" s="9" t="s">
        <v>381</v>
      </c>
      <c r="B28" s="9" t="s">
        <v>252</v>
      </c>
      <c r="C28" s="9" t="s">
        <v>138</v>
      </c>
      <c r="D28" s="9" t="s">
        <v>1263</v>
      </c>
      <c r="E28" s="9" t="s">
        <v>253</v>
      </c>
      <c r="F28" s="15" t="s">
        <v>161</v>
      </c>
      <c r="G28" s="9"/>
      <c r="H28" s="9"/>
      <c r="I28" s="9"/>
      <c r="J28" s="9"/>
      <c r="K28" s="9" t="s">
        <v>1275</v>
      </c>
    </row>
    <row r="29" customFormat="false" ht="15" hidden="false" customHeight="false" outlineLevel="0" collapsed="false">
      <c r="A29" s="10" t="s">
        <v>381</v>
      </c>
      <c r="B29" s="10" t="s">
        <v>257</v>
      </c>
      <c r="C29" s="10" t="s">
        <v>144</v>
      </c>
      <c r="D29" s="10" t="s">
        <v>1263</v>
      </c>
      <c r="E29" s="10" t="s">
        <v>258</v>
      </c>
      <c r="F29" s="13" t="s">
        <v>128</v>
      </c>
      <c r="G29" s="10"/>
      <c r="H29" s="10"/>
      <c r="I29" s="10"/>
      <c r="J29" s="10"/>
      <c r="K29" s="10" t="s">
        <v>1276</v>
      </c>
    </row>
    <row r="30" customFormat="false" ht="15" hidden="false" customHeight="false" outlineLevel="0" collapsed="false">
      <c r="A30" s="9" t="s">
        <v>381</v>
      </c>
      <c r="B30" s="9" t="s">
        <v>261</v>
      </c>
      <c r="C30" s="9" t="s">
        <v>144</v>
      </c>
      <c r="D30" s="9" t="s">
        <v>1263</v>
      </c>
      <c r="E30" s="9" t="s">
        <v>262</v>
      </c>
      <c r="F30" s="13" t="s">
        <v>128</v>
      </c>
      <c r="G30" s="9"/>
      <c r="H30" s="9"/>
      <c r="I30" s="9"/>
      <c r="J30" s="9"/>
      <c r="K30" s="9" t="s">
        <v>1277</v>
      </c>
    </row>
    <row r="31" customFormat="false" ht="15" hidden="false" customHeight="false" outlineLevel="0" collapsed="false">
      <c r="A31" s="10" t="s">
        <v>381</v>
      </c>
      <c r="B31" s="10" t="s">
        <v>264</v>
      </c>
      <c r="C31" s="10" t="s">
        <v>144</v>
      </c>
      <c r="D31" s="10" t="s">
        <v>1263</v>
      </c>
      <c r="E31" s="10" t="s">
        <v>265</v>
      </c>
      <c r="F31" s="13" t="s">
        <v>128</v>
      </c>
      <c r="G31" s="10"/>
      <c r="H31" s="10"/>
      <c r="I31" s="10"/>
      <c r="J31" s="10"/>
      <c r="K31" s="10" t="s">
        <v>1278</v>
      </c>
    </row>
    <row r="32" customFormat="false" ht="15" hidden="false" customHeight="false" outlineLevel="0" collapsed="false">
      <c r="A32" s="9" t="s">
        <v>381</v>
      </c>
      <c r="B32" s="9" t="s">
        <v>267</v>
      </c>
      <c r="C32" s="9" t="s">
        <v>144</v>
      </c>
      <c r="D32" s="9" t="s">
        <v>1263</v>
      </c>
      <c r="E32" s="9" t="s">
        <v>268</v>
      </c>
      <c r="F32" s="17" t="s">
        <v>270</v>
      </c>
      <c r="G32" s="9"/>
      <c r="H32" s="9"/>
      <c r="I32" s="9"/>
      <c r="J32" s="9"/>
      <c r="K32" s="9" t="s">
        <v>1279</v>
      </c>
    </row>
    <row r="33" customFormat="false" ht="15" hidden="false" customHeight="false" outlineLevel="0" collapsed="false">
      <c r="A33" s="10" t="s">
        <v>381</v>
      </c>
      <c r="B33" s="10" t="s">
        <v>271</v>
      </c>
      <c r="C33" s="10" t="s">
        <v>150</v>
      </c>
      <c r="D33" s="10" t="s">
        <v>1263</v>
      </c>
      <c r="E33" s="10" t="s">
        <v>272</v>
      </c>
      <c r="F33" s="13" t="s">
        <v>128</v>
      </c>
      <c r="G33" s="10"/>
      <c r="H33" s="10"/>
      <c r="I33" s="10"/>
      <c r="J33" s="10"/>
      <c r="K33" s="10" t="s">
        <v>1280</v>
      </c>
    </row>
    <row r="34" customFormat="false" ht="15" hidden="false" customHeight="false" outlineLevel="0" collapsed="false">
      <c r="A34" s="9" t="s">
        <v>381</v>
      </c>
      <c r="B34" s="9" t="s">
        <v>275</v>
      </c>
      <c r="C34" s="9" t="s">
        <v>150</v>
      </c>
      <c r="D34" s="9" t="s">
        <v>1263</v>
      </c>
      <c r="E34" s="9" t="s">
        <v>276</v>
      </c>
      <c r="F34" s="15" t="s">
        <v>161</v>
      </c>
      <c r="G34" s="9"/>
      <c r="H34" s="9"/>
      <c r="I34" s="9"/>
      <c r="J34" s="9"/>
      <c r="K34" s="9" t="s">
        <v>1281</v>
      </c>
    </row>
    <row r="35" customFormat="false" ht="15" hidden="false" customHeight="false" outlineLevel="0" collapsed="false">
      <c r="A35" s="10" t="s">
        <v>381</v>
      </c>
      <c r="B35" s="10" t="s">
        <v>278</v>
      </c>
      <c r="C35" s="10" t="s">
        <v>157</v>
      </c>
      <c r="D35" s="10" t="s">
        <v>1263</v>
      </c>
      <c r="E35" s="10" t="s">
        <v>279</v>
      </c>
      <c r="F35" s="15" t="s">
        <v>161</v>
      </c>
      <c r="G35" s="10"/>
      <c r="H35" s="10"/>
      <c r="I35" s="10"/>
      <c r="J35" s="10"/>
      <c r="K35" s="10" t="s">
        <v>1282</v>
      </c>
    </row>
    <row r="36" customFormat="false" ht="15" hidden="false" customHeight="false" outlineLevel="0" collapsed="false">
      <c r="A36" s="9" t="s">
        <v>381</v>
      </c>
      <c r="B36" s="9" t="s">
        <v>281</v>
      </c>
      <c r="C36" s="9" t="s">
        <v>163</v>
      </c>
      <c r="D36" s="9" t="s">
        <v>1263</v>
      </c>
      <c r="E36" s="9" t="s">
        <v>282</v>
      </c>
      <c r="F36" s="15" t="s">
        <v>161</v>
      </c>
      <c r="G36" s="9"/>
      <c r="H36" s="9"/>
      <c r="I36" s="9"/>
      <c r="J36" s="9"/>
      <c r="K36" s="9" t="s">
        <v>1283</v>
      </c>
    </row>
    <row r="37" customFormat="false" ht="15" hidden="false" customHeight="false" outlineLevel="0" collapsed="false">
      <c r="A37" s="10" t="s">
        <v>381</v>
      </c>
      <c r="B37" s="10" t="s">
        <v>284</v>
      </c>
      <c r="C37" s="10" t="s">
        <v>163</v>
      </c>
      <c r="D37" s="10" t="s">
        <v>1263</v>
      </c>
      <c r="E37" s="10" t="s">
        <v>285</v>
      </c>
      <c r="F37" s="15" t="s">
        <v>161</v>
      </c>
      <c r="G37" s="10"/>
      <c r="H37" s="10"/>
      <c r="I37" s="10"/>
      <c r="J37" s="10"/>
      <c r="K37" s="10" t="s">
        <v>1284</v>
      </c>
    </row>
    <row r="38" customFormat="false" ht="15" hidden="false" customHeight="false" outlineLevel="0" collapsed="false">
      <c r="A38" s="9" t="s">
        <v>381</v>
      </c>
      <c r="B38" s="9" t="s">
        <v>288</v>
      </c>
      <c r="C38" s="9" t="s">
        <v>163</v>
      </c>
      <c r="D38" s="9" t="s">
        <v>1263</v>
      </c>
      <c r="E38" s="9" t="s">
        <v>289</v>
      </c>
      <c r="F38" s="15" t="s">
        <v>161</v>
      </c>
      <c r="G38" s="9"/>
      <c r="H38" s="9"/>
      <c r="I38" s="9"/>
      <c r="J38" s="9"/>
      <c r="K38" s="9" t="s">
        <v>1285</v>
      </c>
    </row>
    <row r="39" customFormat="false" ht="15" hidden="false" customHeight="false" outlineLevel="0" collapsed="false">
      <c r="A39" s="10" t="s">
        <v>381</v>
      </c>
      <c r="B39" s="10" t="s">
        <v>291</v>
      </c>
      <c r="C39" s="10" t="s">
        <v>169</v>
      </c>
      <c r="D39" s="10" t="s">
        <v>1263</v>
      </c>
      <c r="E39" s="10" t="s">
        <v>292</v>
      </c>
      <c r="F39" s="15" t="s">
        <v>161</v>
      </c>
      <c r="G39" s="10"/>
      <c r="H39" s="10"/>
      <c r="I39" s="10"/>
      <c r="J39" s="10"/>
      <c r="K39" s="10" t="s">
        <v>1286</v>
      </c>
    </row>
    <row r="40" customFormat="false" ht="15" hidden="false" customHeight="false" outlineLevel="0" collapsed="false">
      <c r="A40" s="9" t="s">
        <v>381</v>
      </c>
      <c r="B40" s="9" t="s">
        <v>294</v>
      </c>
      <c r="C40" s="9" t="s">
        <v>169</v>
      </c>
      <c r="D40" s="9" t="s">
        <v>1263</v>
      </c>
      <c r="E40" s="9" t="s">
        <v>295</v>
      </c>
      <c r="F40" s="15" t="s">
        <v>161</v>
      </c>
      <c r="G40" s="9"/>
      <c r="H40" s="9"/>
      <c r="I40" s="9"/>
      <c r="J40" s="9"/>
      <c r="K40" s="9" t="s">
        <v>1287</v>
      </c>
    </row>
    <row r="41" customFormat="false" ht="15" hidden="false" customHeight="false" outlineLevel="0" collapsed="false">
      <c r="A41" s="10" t="s">
        <v>381</v>
      </c>
      <c r="B41" s="10" t="s">
        <v>297</v>
      </c>
      <c r="C41" s="10" t="s">
        <v>169</v>
      </c>
      <c r="D41" s="10" t="s">
        <v>1263</v>
      </c>
      <c r="E41" s="10" t="s">
        <v>298</v>
      </c>
      <c r="F41" s="15" t="s">
        <v>161</v>
      </c>
      <c r="G41" s="10"/>
      <c r="H41" s="10"/>
      <c r="I41" s="10"/>
      <c r="J41" s="10"/>
      <c r="K41" s="10" t="s">
        <v>1288</v>
      </c>
    </row>
    <row r="42" customFormat="false" ht="15" hidden="false" customHeight="false" outlineLevel="0" collapsed="false">
      <c r="A42" s="9" t="s">
        <v>381</v>
      </c>
      <c r="B42" s="9" t="s">
        <v>301</v>
      </c>
      <c r="C42" s="9" t="s">
        <v>175</v>
      </c>
      <c r="D42" s="9" t="s">
        <v>1263</v>
      </c>
      <c r="E42" s="9" t="s">
        <v>302</v>
      </c>
      <c r="F42" s="16" t="s">
        <v>192</v>
      </c>
      <c r="G42" s="9"/>
      <c r="H42" s="9"/>
      <c r="I42" s="9"/>
      <c r="J42" s="9"/>
      <c r="K42" s="9" t="s">
        <v>1289</v>
      </c>
    </row>
    <row r="43" customFormat="false" ht="15" hidden="false" customHeight="false" outlineLevel="0" collapsed="false">
      <c r="A43" s="10" t="s">
        <v>381</v>
      </c>
      <c r="B43" s="10" t="s">
        <v>304</v>
      </c>
      <c r="C43" s="10" t="s">
        <v>175</v>
      </c>
      <c r="D43" s="10" t="s">
        <v>1263</v>
      </c>
      <c r="E43" s="10" t="s">
        <v>305</v>
      </c>
      <c r="F43" s="15" t="s">
        <v>161</v>
      </c>
      <c r="G43" s="10"/>
      <c r="H43" s="10"/>
      <c r="I43" s="10"/>
      <c r="J43" s="10"/>
      <c r="K43" s="10" t="s">
        <v>1290</v>
      </c>
    </row>
    <row r="44" customFormat="false" ht="15" hidden="false" customHeight="false" outlineLevel="0" collapsed="false">
      <c r="A44" s="9" t="s">
        <v>381</v>
      </c>
      <c r="B44" s="9" t="s">
        <v>308</v>
      </c>
      <c r="C44" s="9" t="s">
        <v>175</v>
      </c>
      <c r="D44" s="9" t="s">
        <v>1263</v>
      </c>
      <c r="E44" s="9" t="s">
        <v>309</v>
      </c>
      <c r="F44" s="17" t="s">
        <v>270</v>
      </c>
      <c r="G44" s="9"/>
      <c r="H44" s="9"/>
      <c r="I44" s="9"/>
      <c r="J44" s="9"/>
      <c r="K44" s="9" t="s">
        <v>1291</v>
      </c>
    </row>
    <row r="45" customFormat="false" ht="15" hidden="false" customHeight="false" outlineLevel="0" collapsed="false">
      <c r="A45" s="10" t="s">
        <v>381</v>
      </c>
      <c r="B45" s="10" t="s">
        <v>311</v>
      </c>
      <c r="C45" s="10" t="s">
        <v>182</v>
      </c>
      <c r="D45" s="10" t="s">
        <v>1263</v>
      </c>
      <c r="E45" s="10" t="s">
        <v>312</v>
      </c>
      <c r="F45" s="15" t="s">
        <v>161</v>
      </c>
      <c r="G45" s="10"/>
      <c r="H45" s="10"/>
      <c r="I45" s="10"/>
      <c r="J45" s="10"/>
      <c r="K45" s="10" t="s">
        <v>1292</v>
      </c>
    </row>
    <row r="46" customFormat="false" ht="15" hidden="false" customHeight="false" outlineLevel="0" collapsed="false">
      <c r="A46" s="9" t="s">
        <v>381</v>
      </c>
      <c r="B46" s="9" t="s">
        <v>314</v>
      </c>
      <c r="C46" s="9" t="s">
        <v>182</v>
      </c>
      <c r="D46" s="9" t="s">
        <v>1263</v>
      </c>
      <c r="E46" s="9" t="s">
        <v>315</v>
      </c>
      <c r="F46" s="16" t="s">
        <v>192</v>
      </c>
      <c r="G46" s="9"/>
      <c r="H46" s="9"/>
      <c r="I46" s="9"/>
      <c r="J46" s="9"/>
      <c r="K46" s="9" t="s">
        <v>1293</v>
      </c>
    </row>
    <row r="47" customFormat="false" ht="15" hidden="false" customHeight="false" outlineLevel="0" collapsed="false">
      <c r="A47" s="10" t="s">
        <v>381</v>
      </c>
      <c r="B47" s="10" t="s">
        <v>317</v>
      </c>
      <c r="C47" s="10" t="s">
        <v>182</v>
      </c>
      <c r="D47" s="10" t="s">
        <v>1263</v>
      </c>
      <c r="E47" s="10" t="s">
        <v>318</v>
      </c>
      <c r="F47" s="15" t="s">
        <v>161</v>
      </c>
      <c r="G47" s="10"/>
      <c r="H47" s="10"/>
      <c r="I47" s="10"/>
      <c r="J47" s="10"/>
      <c r="K47" s="10" t="s">
        <v>1294</v>
      </c>
    </row>
    <row r="48" customFormat="false" ht="15" hidden="false" customHeight="false" outlineLevel="0" collapsed="false">
      <c r="A48" s="9" t="s">
        <v>381</v>
      </c>
      <c r="B48" s="9" t="s">
        <v>321</v>
      </c>
      <c r="C48" s="9" t="s">
        <v>188</v>
      </c>
      <c r="D48" s="9" t="s">
        <v>1263</v>
      </c>
      <c r="E48" s="9" t="s">
        <v>322</v>
      </c>
      <c r="F48" s="16" t="s">
        <v>192</v>
      </c>
      <c r="G48" s="9"/>
      <c r="H48" s="9"/>
      <c r="I48" s="9"/>
      <c r="J48" s="9"/>
      <c r="K48" s="9" t="s">
        <v>1295</v>
      </c>
    </row>
    <row r="49" customFormat="false" ht="15" hidden="false" customHeight="false" outlineLevel="0" collapsed="false">
      <c r="A49" s="10" t="s">
        <v>381</v>
      </c>
      <c r="B49" s="10" t="s">
        <v>324</v>
      </c>
      <c r="C49" s="10" t="s">
        <v>188</v>
      </c>
      <c r="D49" s="10" t="s">
        <v>1263</v>
      </c>
      <c r="E49" s="10" t="s">
        <v>325</v>
      </c>
      <c r="F49" s="16" t="s">
        <v>192</v>
      </c>
      <c r="G49" s="10"/>
      <c r="H49" s="10"/>
      <c r="I49" s="10"/>
      <c r="J49" s="10"/>
      <c r="K49" s="10" t="s">
        <v>1296</v>
      </c>
    </row>
    <row r="50" customFormat="false" ht="15" hidden="false" customHeight="false" outlineLevel="0" collapsed="false">
      <c r="A50" s="9" t="s">
        <v>381</v>
      </c>
      <c r="B50" s="9" t="s">
        <v>328</v>
      </c>
      <c r="C50" s="9" t="s">
        <v>194</v>
      </c>
      <c r="D50" s="9" t="s">
        <v>1263</v>
      </c>
      <c r="E50" s="9" t="s">
        <v>329</v>
      </c>
      <c r="F50" s="16" t="s">
        <v>192</v>
      </c>
      <c r="G50" s="9"/>
      <c r="H50" s="9"/>
      <c r="I50" s="9"/>
      <c r="J50" s="9"/>
      <c r="K50" s="9" t="s">
        <v>1297</v>
      </c>
    </row>
    <row r="51" customFormat="false" ht="15" hidden="false" customHeight="false" outlineLevel="0" collapsed="false">
      <c r="A51" s="10" t="s">
        <v>381</v>
      </c>
      <c r="B51" s="10" t="s">
        <v>331</v>
      </c>
      <c r="C51" s="10" t="s">
        <v>194</v>
      </c>
      <c r="D51" s="10" t="s">
        <v>1263</v>
      </c>
      <c r="E51" s="10" t="s">
        <v>332</v>
      </c>
      <c r="F51" s="16" t="s">
        <v>192</v>
      </c>
      <c r="G51" s="10"/>
      <c r="H51" s="10"/>
      <c r="I51" s="10"/>
      <c r="J51" s="10"/>
      <c r="K51" s="10" t="s">
        <v>1298</v>
      </c>
    </row>
    <row r="52" customFormat="false" ht="15" hidden="false" customHeight="false" outlineLevel="0" collapsed="false">
      <c r="A52" s="9" t="s">
        <v>381</v>
      </c>
      <c r="B52" s="9" t="s">
        <v>334</v>
      </c>
      <c r="C52" s="9" t="s">
        <v>194</v>
      </c>
      <c r="D52" s="9" t="s">
        <v>1263</v>
      </c>
      <c r="E52" s="9" t="s">
        <v>335</v>
      </c>
      <c r="F52" s="16" t="s">
        <v>192</v>
      </c>
      <c r="G52" s="9"/>
      <c r="H52" s="9"/>
      <c r="I52" s="9"/>
      <c r="J52" s="9"/>
      <c r="K52" s="9" t="s">
        <v>1299</v>
      </c>
    </row>
    <row r="53" customFormat="false" ht="15" hidden="false" customHeight="false" outlineLevel="0" collapsed="false">
      <c r="A53" s="10" t="s">
        <v>381</v>
      </c>
      <c r="B53" s="10" t="s">
        <v>338</v>
      </c>
      <c r="C53" s="10" t="s">
        <v>194</v>
      </c>
      <c r="D53" s="10" t="s">
        <v>1263</v>
      </c>
      <c r="E53" s="10" t="s">
        <v>339</v>
      </c>
      <c r="F53" s="15" t="s">
        <v>161</v>
      </c>
      <c r="G53" s="10"/>
      <c r="H53" s="10"/>
      <c r="I53" s="10"/>
      <c r="J53" s="10"/>
      <c r="K53" s="10" t="s">
        <v>1300</v>
      </c>
    </row>
    <row r="54" customFormat="false" ht="15" hidden="false" customHeight="false" outlineLevel="0" collapsed="false">
      <c r="A54" s="9" t="s">
        <v>381</v>
      </c>
      <c r="B54" s="9" t="s">
        <v>342</v>
      </c>
      <c r="C54" s="9" t="s">
        <v>201</v>
      </c>
      <c r="D54" s="9" t="s">
        <v>1263</v>
      </c>
      <c r="E54" s="9" t="s">
        <v>343</v>
      </c>
      <c r="F54" s="16" t="s">
        <v>192</v>
      </c>
      <c r="G54" s="9"/>
      <c r="H54" s="9"/>
      <c r="I54" s="9"/>
      <c r="J54" s="9"/>
      <c r="K54" s="9" t="s">
        <v>1301</v>
      </c>
    </row>
    <row r="55" customFormat="false" ht="15" hidden="false" customHeight="false" outlineLevel="0" collapsed="false">
      <c r="A55" s="10" t="s">
        <v>381</v>
      </c>
      <c r="B55" s="10" t="s">
        <v>346</v>
      </c>
      <c r="C55" s="10" t="s">
        <v>201</v>
      </c>
      <c r="D55" s="10" t="s">
        <v>1263</v>
      </c>
      <c r="E55" s="10" t="s">
        <v>347</v>
      </c>
      <c r="F55" s="13" t="s">
        <v>128</v>
      </c>
      <c r="G55" s="10"/>
      <c r="H55" s="10"/>
      <c r="I55" s="10"/>
      <c r="J55" s="10"/>
      <c r="K55" s="10" t="s">
        <v>1302</v>
      </c>
    </row>
    <row r="56" customFormat="false" ht="15" hidden="false" customHeight="false" outlineLevel="0" collapsed="false">
      <c r="A56" s="9" t="s">
        <v>381</v>
      </c>
      <c r="B56" s="9" t="s">
        <v>349</v>
      </c>
      <c r="C56" s="9" t="s">
        <v>201</v>
      </c>
      <c r="D56" s="9" t="s">
        <v>1263</v>
      </c>
      <c r="E56" s="9" t="s">
        <v>350</v>
      </c>
      <c r="F56" s="15" t="s">
        <v>161</v>
      </c>
      <c r="G56" s="9"/>
      <c r="H56" s="9"/>
      <c r="I56" s="9"/>
      <c r="J56" s="9"/>
      <c r="K56" s="9" t="s">
        <v>1303</v>
      </c>
    </row>
    <row r="57" customFormat="false" ht="15" hidden="false" customHeight="false" outlineLevel="0" collapsed="false">
      <c r="A57" s="10" t="s">
        <v>381</v>
      </c>
      <c r="B57" s="10" t="s">
        <v>353</v>
      </c>
      <c r="C57" s="10" t="s">
        <v>201</v>
      </c>
      <c r="D57" s="10" t="s">
        <v>1263</v>
      </c>
      <c r="E57" s="10" t="s">
        <v>354</v>
      </c>
      <c r="F57" s="13" t="s">
        <v>128</v>
      </c>
      <c r="G57" s="10"/>
      <c r="H57" s="10"/>
      <c r="I57" s="10"/>
      <c r="J57" s="10"/>
      <c r="K57" s="10" t="s">
        <v>1304</v>
      </c>
    </row>
    <row r="58" customFormat="false" ht="15" hidden="false" customHeight="false" outlineLevel="0" collapsed="false">
      <c r="A58" s="9" t="s">
        <v>381</v>
      </c>
      <c r="B58" s="9" t="s">
        <v>356</v>
      </c>
      <c r="C58" s="9" t="s">
        <v>201</v>
      </c>
      <c r="D58" s="9" t="s">
        <v>1263</v>
      </c>
      <c r="E58" s="9" t="s">
        <v>357</v>
      </c>
      <c r="F58" s="17" t="s">
        <v>270</v>
      </c>
      <c r="G58" s="9"/>
      <c r="H58" s="9"/>
      <c r="I58" s="9"/>
      <c r="J58" s="9"/>
      <c r="K58" s="9" t="s">
        <v>1305</v>
      </c>
    </row>
    <row r="59" customFormat="false" ht="15" hidden="false" customHeight="false" outlineLevel="0" collapsed="false">
      <c r="A59" s="10" t="s">
        <v>381</v>
      </c>
      <c r="B59" s="10" t="s">
        <v>359</v>
      </c>
      <c r="C59" s="10" t="s">
        <v>201</v>
      </c>
      <c r="D59" s="10" t="s">
        <v>1263</v>
      </c>
      <c r="E59" s="10" t="s">
        <v>360</v>
      </c>
      <c r="F59" s="17" t="s">
        <v>270</v>
      </c>
      <c r="G59" s="10"/>
      <c r="H59" s="10"/>
      <c r="I59" s="10"/>
      <c r="J59" s="10"/>
      <c r="K59" s="10" t="s">
        <v>1306</v>
      </c>
    </row>
    <row r="60" customFormat="false" ht="15" hidden="false" customHeight="false" outlineLevel="0" collapsed="false">
      <c r="A60" s="9" t="s">
        <v>381</v>
      </c>
      <c r="B60" s="9" t="s">
        <v>362</v>
      </c>
      <c r="C60" s="9" t="s">
        <v>208</v>
      </c>
      <c r="D60" s="9" t="s">
        <v>1263</v>
      </c>
      <c r="E60" s="9" t="s">
        <v>363</v>
      </c>
      <c r="F60" s="15" t="s">
        <v>161</v>
      </c>
      <c r="G60" s="9"/>
      <c r="H60" s="9"/>
      <c r="I60" s="9"/>
      <c r="J60" s="9"/>
      <c r="K60" s="9" t="s">
        <v>1307</v>
      </c>
    </row>
    <row r="61" customFormat="false" ht="15" hidden="false" customHeight="false" outlineLevel="0" collapsed="false">
      <c r="A61" s="10" t="s">
        <v>381</v>
      </c>
      <c r="B61" s="10" t="s">
        <v>365</v>
      </c>
      <c r="C61" s="10" t="s">
        <v>208</v>
      </c>
      <c r="D61" s="10" t="s">
        <v>1263</v>
      </c>
      <c r="E61" s="10" t="s">
        <v>366</v>
      </c>
      <c r="F61" s="15" t="s">
        <v>161</v>
      </c>
      <c r="G61" s="10"/>
      <c r="H61" s="10"/>
      <c r="I61" s="10"/>
      <c r="J61" s="10"/>
      <c r="K61" s="10" t="s">
        <v>1308</v>
      </c>
    </row>
    <row r="62" customFormat="false" ht="15" hidden="false" customHeight="false" outlineLevel="0" collapsed="false">
      <c r="A62" s="9" t="s">
        <v>381</v>
      </c>
      <c r="B62" s="9" t="s">
        <v>368</v>
      </c>
      <c r="C62" s="9" t="s">
        <v>208</v>
      </c>
      <c r="D62" s="9" t="s">
        <v>1263</v>
      </c>
      <c r="E62" s="9" t="s">
        <v>369</v>
      </c>
      <c r="F62" s="15" t="s">
        <v>161</v>
      </c>
      <c r="G62" s="9"/>
      <c r="H62" s="9"/>
      <c r="I62" s="9"/>
      <c r="J62" s="9"/>
      <c r="K62" s="9" t="s">
        <v>1309</v>
      </c>
    </row>
    <row r="63" customFormat="false" ht="15" hidden="false" customHeight="false" outlineLevel="0" collapsed="false">
      <c r="A63" s="10" t="s">
        <v>381</v>
      </c>
      <c r="B63" s="10" t="s">
        <v>371</v>
      </c>
      <c r="C63" s="10" t="s">
        <v>208</v>
      </c>
      <c r="D63" s="10" t="s">
        <v>1263</v>
      </c>
      <c r="E63" s="10" t="s">
        <v>372</v>
      </c>
      <c r="F63" s="15" t="s">
        <v>161</v>
      </c>
      <c r="G63" s="10"/>
      <c r="H63" s="10"/>
      <c r="I63" s="10"/>
      <c r="J63" s="10"/>
      <c r="K63" s="10" t="s">
        <v>1310</v>
      </c>
    </row>
    <row r="64" customFormat="false" ht="15" hidden="false" customHeight="false" outlineLevel="0" collapsed="false">
      <c r="A64" s="9" t="s">
        <v>381</v>
      </c>
      <c r="B64" s="9" t="s">
        <v>374</v>
      </c>
      <c r="C64" s="9" t="s">
        <v>208</v>
      </c>
      <c r="D64" s="9" t="s">
        <v>1263</v>
      </c>
      <c r="E64" s="9" t="s">
        <v>375</v>
      </c>
      <c r="F64" s="16" t="s">
        <v>192</v>
      </c>
      <c r="G64" s="9"/>
      <c r="H64" s="9"/>
      <c r="I64" s="9"/>
      <c r="J64" s="9"/>
      <c r="K64" s="9" t="s">
        <v>1311</v>
      </c>
    </row>
    <row r="65" customFormat="false" ht="15" hidden="false" customHeight="false" outlineLevel="0" collapsed="false">
      <c r="A65" s="10" t="s">
        <v>381</v>
      </c>
      <c r="B65" s="10" t="s">
        <v>377</v>
      </c>
      <c r="C65" s="10" t="s">
        <v>208</v>
      </c>
      <c r="D65" s="10" t="s">
        <v>1263</v>
      </c>
      <c r="E65" s="10" t="s">
        <v>378</v>
      </c>
      <c r="F65" s="16" t="s">
        <v>192</v>
      </c>
      <c r="G65" s="10"/>
      <c r="H65" s="10"/>
      <c r="I65" s="10"/>
      <c r="J65" s="10"/>
      <c r="K65" s="10" t="s">
        <v>1312</v>
      </c>
    </row>
    <row r="66" customFormat="false" ht="15" hidden="false" customHeight="false" outlineLevel="0" collapsed="false">
      <c r="A66" s="9" t="s">
        <v>969</v>
      </c>
      <c r="B66" s="9" t="s">
        <v>389</v>
      </c>
      <c r="C66" s="9" t="s">
        <v>124</v>
      </c>
      <c r="D66" s="9" t="s">
        <v>969</v>
      </c>
      <c r="E66" s="9" t="s">
        <v>390</v>
      </c>
      <c r="F66" s="13" t="s">
        <v>128</v>
      </c>
      <c r="G66" s="9" t="n">
        <v>3</v>
      </c>
      <c r="H66" s="9" t="s">
        <v>393</v>
      </c>
      <c r="I66" s="9" t="s">
        <v>43</v>
      </c>
      <c r="J66" s="9" t="n">
        <v>1</v>
      </c>
      <c r="K66" s="9" t="s">
        <v>1313</v>
      </c>
    </row>
    <row r="67" customFormat="false" ht="15" hidden="false" customHeight="false" outlineLevel="0" collapsed="false">
      <c r="A67" s="10" t="s">
        <v>969</v>
      </c>
      <c r="B67" s="10" t="s">
        <v>395</v>
      </c>
      <c r="C67" s="10" t="s">
        <v>124</v>
      </c>
      <c r="D67" s="10" t="s">
        <v>969</v>
      </c>
      <c r="E67" s="10" t="s">
        <v>396</v>
      </c>
      <c r="F67" s="13" t="s">
        <v>128</v>
      </c>
      <c r="G67" s="10" t="n">
        <v>3</v>
      </c>
      <c r="H67" s="10" t="s">
        <v>393</v>
      </c>
      <c r="I67" s="10" t="s">
        <v>43</v>
      </c>
      <c r="J67" s="10" t="n">
        <v>1</v>
      </c>
      <c r="K67" s="10" t="s">
        <v>1314</v>
      </c>
    </row>
    <row r="68" customFormat="false" ht="15" hidden="false" customHeight="false" outlineLevel="0" collapsed="false">
      <c r="A68" s="9" t="s">
        <v>969</v>
      </c>
      <c r="B68" s="9" t="s">
        <v>399</v>
      </c>
      <c r="C68" s="9" t="s">
        <v>124</v>
      </c>
      <c r="D68" s="9" t="s">
        <v>969</v>
      </c>
      <c r="E68" s="9" t="s">
        <v>400</v>
      </c>
      <c r="F68" s="13" t="s">
        <v>128</v>
      </c>
      <c r="G68" s="9" t="n">
        <v>3</v>
      </c>
      <c r="H68" s="9" t="s">
        <v>393</v>
      </c>
      <c r="I68" s="9" t="s">
        <v>37</v>
      </c>
      <c r="J68" s="9" t="n">
        <v>1</v>
      </c>
      <c r="K68" s="9" t="s">
        <v>1315</v>
      </c>
    </row>
    <row r="69" customFormat="false" ht="15" hidden="false" customHeight="false" outlineLevel="0" collapsed="false">
      <c r="A69" s="10" t="s">
        <v>969</v>
      </c>
      <c r="B69" s="10" t="s">
        <v>403</v>
      </c>
      <c r="C69" s="10" t="s">
        <v>124</v>
      </c>
      <c r="D69" s="10" t="s">
        <v>969</v>
      </c>
      <c r="E69" s="10" t="s">
        <v>404</v>
      </c>
      <c r="F69" s="13" t="s">
        <v>128</v>
      </c>
      <c r="G69" s="10" t="n">
        <v>2</v>
      </c>
      <c r="H69" s="10" t="s">
        <v>393</v>
      </c>
      <c r="I69" s="10" t="s">
        <v>37</v>
      </c>
      <c r="J69" s="10" t="n">
        <v>1</v>
      </c>
      <c r="K69" s="10" t="s">
        <v>1315</v>
      </c>
    </row>
    <row r="70" customFormat="false" ht="15" hidden="false" customHeight="false" outlineLevel="0" collapsed="false">
      <c r="A70" s="9" t="s">
        <v>969</v>
      </c>
      <c r="B70" s="9" t="s">
        <v>407</v>
      </c>
      <c r="C70" s="9" t="s">
        <v>133</v>
      </c>
      <c r="D70" s="9" t="s">
        <v>969</v>
      </c>
      <c r="E70" s="9" t="s">
        <v>408</v>
      </c>
      <c r="F70" s="13" t="s">
        <v>128</v>
      </c>
      <c r="G70" s="9" t="n">
        <v>2</v>
      </c>
      <c r="H70" s="9" t="s">
        <v>393</v>
      </c>
      <c r="I70" s="9" t="s">
        <v>39</v>
      </c>
      <c r="J70" s="9" t="n">
        <v>1</v>
      </c>
      <c r="K70" s="9" t="s">
        <v>1316</v>
      </c>
    </row>
    <row r="71" customFormat="false" ht="15" hidden="false" customHeight="false" outlineLevel="0" collapsed="false">
      <c r="A71" s="10" t="s">
        <v>969</v>
      </c>
      <c r="B71" s="10" t="s">
        <v>411</v>
      </c>
      <c r="C71" s="10" t="s">
        <v>133</v>
      </c>
      <c r="D71" s="10" t="s">
        <v>969</v>
      </c>
      <c r="E71" s="10" t="s">
        <v>412</v>
      </c>
      <c r="F71" s="13" t="s">
        <v>128</v>
      </c>
      <c r="G71" s="10" t="n">
        <v>3</v>
      </c>
      <c r="H71" s="10" t="s">
        <v>393</v>
      </c>
      <c r="I71" s="10" t="s">
        <v>39</v>
      </c>
      <c r="J71" s="10" t="n">
        <v>1</v>
      </c>
      <c r="K71" s="10" t="s">
        <v>1317</v>
      </c>
    </row>
    <row r="72" customFormat="false" ht="15" hidden="false" customHeight="false" outlineLevel="0" collapsed="false">
      <c r="A72" s="9" t="s">
        <v>969</v>
      </c>
      <c r="B72" s="9" t="s">
        <v>416</v>
      </c>
      <c r="C72" s="9" t="s">
        <v>138</v>
      </c>
      <c r="D72" s="9" t="s">
        <v>969</v>
      </c>
      <c r="E72" s="9" t="s">
        <v>417</v>
      </c>
      <c r="F72" s="13" t="s">
        <v>128</v>
      </c>
      <c r="G72" s="9" t="n">
        <v>3</v>
      </c>
      <c r="H72" s="9" t="s">
        <v>393</v>
      </c>
      <c r="I72" s="9" t="s">
        <v>39</v>
      </c>
      <c r="J72" s="9" t="n">
        <v>1</v>
      </c>
      <c r="K72" s="9" t="s">
        <v>1318</v>
      </c>
    </row>
    <row r="73" customFormat="false" ht="15" hidden="false" customHeight="false" outlineLevel="0" collapsed="false">
      <c r="A73" s="10" t="s">
        <v>969</v>
      </c>
      <c r="B73" s="10" t="s">
        <v>420</v>
      </c>
      <c r="C73" s="10" t="s">
        <v>144</v>
      </c>
      <c r="D73" s="10" t="s">
        <v>969</v>
      </c>
      <c r="E73" s="10" t="s">
        <v>421</v>
      </c>
      <c r="F73" s="13" t="s">
        <v>128</v>
      </c>
      <c r="G73" s="10" t="n">
        <v>5</v>
      </c>
      <c r="H73" s="10" t="s">
        <v>424</v>
      </c>
      <c r="I73" s="10" t="s">
        <v>41</v>
      </c>
      <c r="J73" s="10" t="n">
        <v>1</v>
      </c>
      <c r="K73" s="10" t="s">
        <v>1319</v>
      </c>
    </row>
    <row r="74" customFormat="false" ht="15" hidden="false" customHeight="false" outlineLevel="0" collapsed="false">
      <c r="A74" s="9" t="s">
        <v>969</v>
      </c>
      <c r="B74" s="9" t="s">
        <v>426</v>
      </c>
      <c r="C74" s="9" t="s">
        <v>144</v>
      </c>
      <c r="D74" s="9" t="s">
        <v>969</v>
      </c>
      <c r="E74" s="9" t="s">
        <v>427</v>
      </c>
      <c r="F74" s="13" t="s">
        <v>128</v>
      </c>
      <c r="G74" s="9" t="n">
        <v>3</v>
      </c>
      <c r="H74" s="9" t="s">
        <v>424</v>
      </c>
      <c r="I74" s="9" t="s">
        <v>41</v>
      </c>
      <c r="J74" s="9" t="n">
        <v>1</v>
      </c>
      <c r="K74" s="9" t="s">
        <v>1320</v>
      </c>
    </row>
    <row r="75" customFormat="false" ht="15" hidden="false" customHeight="false" outlineLevel="0" collapsed="false">
      <c r="A75" s="10" t="s">
        <v>969</v>
      </c>
      <c r="B75" s="10" t="s">
        <v>430</v>
      </c>
      <c r="C75" s="10" t="s">
        <v>144</v>
      </c>
      <c r="D75" s="10" t="s">
        <v>969</v>
      </c>
      <c r="E75" s="10" t="s">
        <v>431</v>
      </c>
      <c r="F75" s="13" t="s">
        <v>128</v>
      </c>
      <c r="G75" s="10" t="n">
        <v>3</v>
      </c>
      <c r="H75" s="10" t="s">
        <v>424</v>
      </c>
      <c r="I75" s="10" t="s">
        <v>41</v>
      </c>
      <c r="J75" s="10" t="n">
        <v>1</v>
      </c>
      <c r="K75" s="10" t="s">
        <v>1321</v>
      </c>
    </row>
    <row r="76" customFormat="false" ht="15" hidden="false" customHeight="false" outlineLevel="0" collapsed="false">
      <c r="A76" s="9" t="s">
        <v>969</v>
      </c>
      <c r="B76" s="9" t="s">
        <v>434</v>
      </c>
      <c r="C76" s="9" t="s">
        <v>144</v>
      </c>
      <c r="D76" s="9" t="s">
        <v>969</v>
      </c>
      <c r="E76" s="9" t="s">
        <v>435</v>
      </c>
      <c r="F76" s="13" t="s">
        <v>128</v>
      </c>
      <c r="G76" s="9" t="n">
        <v>2</v>
      </c>
      <c r="H76" s="9" t="s">
        <v>424</v>
      </c>
      <c r="I76" s="9" t="s">
        <v>41</v>
      </c>
      <c r="J76" s="9" t="n">
        <v>2</v>
      </c>
      <c r="K76" s="9" t="s">
        <v>1321</v>
      </c>
    </row>
    <row r="77" customFormat="false" ht="15" hidden="false" customHeight="false" outlineLevel="0" collapsed="false">
      <c r="A77" s="10" t="s">
        <v>969</v>
      </c>
      <c r="B77" s="10" t="s">
        <v>438</v>
      </c>
      <c r="C77" s="10" t="s">
        <v>138</v>
      </c>
      <c r="D77" s="10" t="s">
        <v>969</v>
      </c>
      <c r="E77" s="10" t="s">
        <v>439</v>
      </c>
      <c r="F77" s="13" t="s">
        <v>128</v>
      </c>
      <c r="G77" s="10" t="n">
        <v>5</v>
      </c>
      <c r="H77" s="10" t="s">
        <v>424</v>
      </c>
      <c r="I77" s="10" t="s">
        <v>37</v>
      </c>
      <c r="J77" s="10" t="n">
        <v>2</v>
      </c>
      <c r="K77" s="10" t="s">
        <v>1322</v>
      </c>
    </row>
    <row r="78" customFormat="false" ht="15" hidden="false" customHeight="false" outlineLevel="0" collapsed="false">
      <c r="A78" s="9" t="s">
        <v>969</v>
      </c>
      <c r="B78" s="9" t="s">
        <v>443</v>
      </c>
      <c r="C78" s="9" t="s">
        <v>138</v>
      </c>
      <c r="D78" s="9" t="s">
        <v>969</v>
      </c>
      <c r="E78" s="9" t="s">
        <v>444</v>
      </c>
      <c r="F78" s="13" t="s">
        <v>128</v>
      </c>
      <c r="G78" s="9" t="n">
        <v>5</v>
      </c>
      <c r="H78" s="9" t="s">
        <v>424</v>
      </c>
      <c r="I78" s="9" t="s">
        <v>37</v>
      </c>
      <c r="J78" s="9" t="n">
        <v>2</v>
      </c>
      <c r="K78" s="9" t="s">
        <v>1322</v>
      </c>
    </row>
    <row r="79" customFormat="false" ht="15" hidden="false" customHeight="false" outlineLevel="0" collapsed="false">
      <c r="A79" s="10" t="s">
        <v>969</v>
      </c>
      <c r="B79" s="10" t="s">
        <v>447</v>
      </c>
      <c r="C79" s="10" t="s">
        <v>138</v>
      </c>
      <c r="D79" s="10" t="s">
        <v>969</v>
      </c>
      <c r="E79" s="10" t="s">
        <v>448</v>
      </c>
      <c r="F79" s="13" t="s">
        <v>128</v>
      </c>
      <c r="G79" s="10" t="n">
        <v>3</v>
      </c>
      <c r="H79" s="10" t="s">
        <v>424</v>
      </c>
      <c r="I79" s="10" t="s">
        <v>37</v>
      </c>
      <c r="J79" s="10" t="n">
        <v>2</v>
      </c>
      <c r="K79" s="10" t="s">
        <v>1322</v>
      </c>
    </row>
    <row r="80" customFormat="false" ht="15" hidden="false" customHeight="false" outlineLevel="0" collapsed="false">
      <c r="A80" s="9" t="s">
        <v>969</v>
      </c>
      <c r="B80" s="9" t="s">
        <v>451</v>
      </c>
      <c r="C80" s="9" t="s">
        <v>150</v>
      </c>
      <c r="D80" s="9" t="s">
        <v>969</v>
      </c>
      <c r="E80" s="9" t="s">
        <v>452</v>
      </c>
      <c r="F80" s="13" t="s">
        <v>128</v>
      </c>
      <c r="G80" s="9" t="n">
        <v>5</v>
      </c>
      <c r="H80" s="9" t="s">
        <v>455</v>
      </c>
      <c r="I80" s="9" t="s">
        <v>37</v>
      </c>
      <c r="J80" s="9" t="n">
        <v>2</v>
      </c>
      <c r="K80" s="9" t="s">
        <v>1323</v>
      </c>
    </row>
    <row r="81" customFormat="false" ht="15" hidden="false" customHeight="false" outlineLevel="0" collapsed="false">
      <c r="A81" s="10" t="s">
        <v>969</v>
      </c>
      <c r="B81" s="10" t="s">
        <v>457</v>
      </c>
      <c r="C81" s="10" t="s">
        <v>150</v>
      </c>
      <c r="D81" s="10" t="s">
        <v>969</v>
      </c>
      <c r="E81" s="10" t="s">
        <v>458</v>
      </c>
      <c r="F81" s="13" t="s">
        <v>128</v>
      </c>
      <c r="G81" s="10" t="n">
        <v>3</v>
      </c>
      <c r="H81" s="10" t="s">
        <v>455</v>
      </c>
      <c r="I81" s="10" t="s">
        <v>41</v>
      </c>
      <c r="J81" s="10" t="n">
        <v>2</v>
      </c>
      <c r="K81" s="10" t="s">
        <v>1323</v>
      </c>
    </row>
    <row r="82" customFormat="false" ht="15" hidden="false" customHeight="false" outlineLevel="0" collapsed="false">
      <c r="A82" s="9" t="s">
        <v>969</v>
      </c>
      <c r="B82" s="9" t="s">
        <v>462</v>
      </c>
      <c r="C82" s="9" t="s">
        <v>157</v>
      </c>
      <c r="D82" s="9" t="s">
        <v>969</v>
      </c>
      <c r="E82" s="9" t="s">
        <v>463</v>
      </c>
      <c r="F82" s="15" t="s">
        <v>161</v>
      </c>
      <c r="G82" s="9" t="n">
        <v>5</v>
      </c>
      <c r="H82" s="9" t="s">
        <v>455</v>
      </c>
      <c r="I82" s="9" t="s">
        <v>37</v>
      </c>
      <c r="J82" s="9" t="n">
        <v>2</v>
      </c>
      <c r="K82" s="9" t="s">
        <v>1324</v>
      </c>
    </row>
    <row r="83" customFormat="false" ht="15" hidden="false" customHeight="false" outlineLevel="0" collapsed="false">
      <c r="A83" s="10" t="s">
        <v>969</v>
      </c>
      <c r="B83" s="10" t="s">
        <v>467</v>
      </c>
      <c r="C83" s="10" t="s">
        <v>133</v>
      </c>
      <c r="D83" s="10" t="s">
        <v>969</v>
      </c>
      <c r="E83" s="10" t="s">
        <v>468</v>
      </c>
      <c r="F83" s="15" t="s">
        <v>161</v>
      </c>
      <c r="G83" s="10" t="n">
        <v>2</v>
      </c>
      <c r="H83" s="10" t="s">
        <v>455</v>
      </c>
      <c r="I83" s="10" t="s">
        <v>37</v>
      </c>
      <c r="J83" s="10" t="n">
        <v>2</v>
      </c>
      <c r="K83" s="10" t="s">
        <v>1325</v>
      </c>
    </row>
    <row r="84" customFormat="false" ht="15" hidden="false" customHeight="false" outlineLevel="0" collapsed="false">
      <c r="A84" s="9" t="s">
        <v>969</v>
      </c>
      <c r="B84" s="9" t="s">
        <v>472</v>
      </c>
      <c r="C84" s="9" t="s">
        <v>163</v>
      </c>
      <c r="D84" s="9" t="s">
        <v>969</v>
      </c>
      <c r="E84" s="9" t="s">
        <v>473</v>
      </c>
      <c r="F84" s="15" t="s">
        <v>161</v>
      </c>
      <c r="G84" s="9" t="n">
        <v>3</v>
      </c>
      <c r="H84" s="9" t="s">
        <v>455</v>
      </c>
      <c r="I84" s="9" t="s">
        <v>37</v>
      </c>
      <c r="J84" s="9" t="n">
        <v>3</v>
      </c>
      <c r="K84" s="9" t="s">
        <v>1326</v>
      </c>
    </row>
    <row r="85" customFormat="false" ht="15" hidden="false" customHeight="false" outlineLevel="0" collapsed="false">
      <c r="A85" s="10" t="s">
        <v>969</v>
      </c>
      <c r="B85" s="10" t="s">
        <v>476</v>
      </c>
      <c r="C85" s="10" t="s">
        <v>163</v>
      </c>
      <c r="D85" s="10" t="s">
        <v>969</v>
      </c>
      <c r="E85" s="10" t="s">
        <v>477</v>
      </c>
      <c r="F85" s="15" t="s">
        <v>161</v>
      </c>
      <c r="G85" s="10" t="n">
        <v>8</v>
      </c>
      <c r="H85" s="10" t="s">
        <v>455</v>
      </c>
      <c r="I85" s="10" t="s">
        <v>41</v>
      </c>
      <c r="J85" s="10" t="n">
        <v>3</v>
      </c>
      <c r="K85" s="10" t="s">
        <v>1327</v>
      </c>
    </row>
    <row r="86" customFormat="false" ht="15" hidden="false" customHeight="false" outlineLevel="0" collapsed="false">
      <c r="A86" s="9" t="s">
        <v>969</v>
      </c>
      <c r="B86" s="9" t="s">
        <v>481</v>
      </c>
      <c r="C86" s="9" t="s">
        <v>163</v>
      </c>
      <c r="D86" s="9" t="s">
        <v>969</v>
      </c>
      <c r="E86" s="9" t="s">
        <v>482</v>
      </c>
      <c r="F86" s="15" t="s">
        <v>161</v>
      </c>
      <c r="G86" s="9" t="n">
        <v>5</v>
      </c>
      <c r="H86" s="9" t="s">
        <v>455</v>
      </c>
      <c r="I86" s="9" t="s">
        <v>37</v>
      </c>
      <c r="J86" s="9" t="n">
        <v>3</v>
      </c>
      <c r="K86" s="9" t="s">
        <v>1328</v>
      </c>
    </row>
    <row r="87" customFormat="false" ht="15" hidden="false" customHeight="false" outlineLevel="0" collapsed="false">
      <c r="A87" s="10" t="s">
        <v>969</v>
      </c>
      <c r="B87" s="10" t="s">
        <v>486</v>
      </c>
      <c r="C87" s="10" t="s">
        <v>150</v>
      </c>
      <c r="D87" s="10" t="s">
        <v>969</v>
      </c>
      <c r="E87" s="10" t="s">
        <v>487</v>
      </c>
      <c r="F87" s="15" t="s">
        <v>161</v>
      </c>
      <c r="G87" s="10" t="n">
        <v>2</v>
      </c>
      <c r="H87" s="10" t="s">
        <v>455</v>
      </c>
      <c r="I87" s="10" t="s">
        <v>37</v>
      </c>
      <c r="J87" s="10" t="n">
        <v>3</v>
      </c>
      <c r="K87" s="10" t="s">
        <v>1329</v>
      </c>
    </row>
    <row r="88" customFormat="false" ht="15" hidden="false" customHeight="false" outlineLevel="0" collapsed="false">
      <c r="A88" s="9" t="s">
        <v>969</v>
      </c>
      <c r="B88" s="9" t="s">
        <v>490</v>
      </c>
      <c r="C88" s="9" t="s">
        <v>208</v>
      </c>
      <c r="D88" s="9" t="s">
        <v>969</v>
      </c>
      <c r="E88" s="9" t="s">
        <v>491</v>
      </c>
      <c r="F88" s="15" t="s">
        <v>161</v>
      </c>
      <c r="G88" s="9" t="n">
        <v>2</v>
      </c>
      <c r="H88" s="9" t="s">
        <v>455</v>
      </c>
      <c r="I88" s="9" t="s">
        <v>43</v>
      </c>
      <c r="J88" s="9" t="n">
        <v>3</v>
      </c>
      <c r="K88" s="9" t="s">
        <v>1330</v>
      </c>
    </row>
    <row r="89" customFormat="false" ht="15" hidden="false" customHeight="false" outlineLevel="0" collapsed="false">
      <c r="A89" s="10" t="s">
        <v>969</v>
      </c>
      <c r="B89" s="10" t="s">
        <v>495</v>
      </c>
      <c r="C89" s="10" t="s">
        <v>201</v>
      </c>
      <c r="D89" s="10" t="s">
        <v>969</v>
      </c>
      <c r="E89" s="10" t="s">
        <v>496</v>
      </c>
      <c r="F89" s="15" t="s">
        <v>161</v>
      </c>
      <c r="G89" s="10" t="n">
        <v>3</v>
      </c>
      <c r="H89" s="10" t="s">
        <v>455</v>
      </c>
      <c r="I89" s="10" t="s">
        <v>43</v>
      </c>
      <c r="J89" s="10" t="n">
        <v>3</v>
      </c>
      <c r="K89" s="10" t="s">
        <v>1331</v>
      </c>
    </row>
    <row r="90" customFormat="false" ht="15" hidden="false" customHeight="false" outlineLevel="0" collapsed="false">
      <c r="A90" s="9" t="s">
        <v>969</v>
      </c>
      <c r="B90" s="9" t="s">
        <v>500</v>
      </c>
      <c r="C90" s="9" t="s">
        <v>208</v>
      </c>
      <c r="D90" s="9" t="s">
        <v>969</v>
      </c>
      <c r="E90" s="9" t="s">
        <v>501</v>
      </c>
      <c r="F90" s="15" t="s">
        <v>161</v>
      </c>
      <c r="G90" s="9" t="n">
        <v>5</v>
      </c>
      <c r="H90" s="9" t="s">
        <v>455</v>
      </c>
      <c r="I90" s="9" t="s">
        <v>45</v>
      </c>
      <c r="J90" s="9" t="n">
        <v>3</v>
      </c>
      <c r="K90" s="9" t="s">
        <v>1332</v>
      </c>
    </row>
    <row r="91" customFormat="false" ht="15" hidden="false" customHeight="false" outlineLevel="0" collapsed="false">
      <c r="A91" s="10" t="s">
        <v>969</v>
      </c>
      <c r="B91" s="10" t="s">
        <v>505</v>
      </c>
      <c r="C91" s="10" t="s">
        <v>169</v>
      </c>
      <c r="D91" s="10" t="s">
        <v>969</v>
      </c>
      <c r="E91" s="10" t="s">
        <v>506</v>
      </c>
      <c r="F91" s="15" t="s">
        <v>161</v>
      </c>
      <c r="G91" s="10" t="n">
        <v>3</v>
      </c>
      <c r="H91" s="10" t="s">
        <v>509</v>
      </c>
      <c r="I91" s="10" t="s">
        <v>37</v>
      </c>
      <c r="J91" s="10" t="n">
        <v>4</v>
      </c>
      <c r="K91" s="10" t="s">
        <v>1333</v>
      </c>
    </row>
    <row r="92" customFormat="false" ht="15" hidden="false" customHeight="false" outlineLevel="0" collapsed="false">
      <c r="A92" s="9" t="s">
        <v>969</v>
      </c>
      <c r="B92" s="9" t="s">
        <v>510</v>
      </c>
      <c r="C92" s="9" t="s">
        <v>169</v>
      </c>
      <c r="D92" s="9" t="s">
        <v>969</v>
      </c>
      <c r="E92" s="9" t="s">
        <v>511</v>
      </c>
      <c r="F92" s="15" t="s">
        <v>161</v>
      </c>
      <c r="G92" s="9" t="n">
        <v>3</v>
      </c>
      <c r="H92" s="9" t="s">
        <v>509</v>
      </c>
      <c r="I92" s="9" t="s">
        <v>37</v>
      </c>
      <c r="J92" s="9" t="n">
        <v>4</v>
      </c>
      <c r="K92" s="9" t="s">
        <v>1333</v>
      </c>
    </row>
    <row r="93" customFormat="false" ht="15" hidden="false" customHeight="false" outlineLevel="0" collapsed="false">
      <c r="A93" s="10" t="s">
        <v>969</v>
      </c>
      <c r="B93" s="10" t="s">
        <v>515</v>
      </c>
      <c r="C93" s="10" t="s">
        <v>163</v>
      </c>
      <c r="D93" s="10" t="s">
        <v>969</v>
      </c>
      <c r="E93" s="10" t="s">
        <v>516</v>
      </c>
      <c r="F93" s="15" t="s">
        <v>161</v>
      </c>
      <c r="G93" s="10" t="n">
        <v>3</v>
      </c>
      <c r="H93" s="10" t="s">
        <v>509</v>
      </c>
      <c r="I93" s="10" t="s">
        <v>41</v>
      </c>
      <c r="J93" s="10" t="n">
        <v>4</v>
      </c>
      <c r="K93" s="10" t="s">
        <v>1328</v>
      </c>
    </row>
    <row r="94" customFormat="false" ht="15" hidden="false" customHeight="false" outlineLevel="0" collapsed="false">
      <c r="A94" s="9" t="s">
        <v>969</v>
      </c>
      <c r="B94" s="9" t="s">
        <v>519</v>
      </c>
      <c r="C94" s="9" t="s">
        <v>138</v>
      </c>
      <c r="D94" s="9" t="s">
        <v>969</v>
      </c>
      <c r="E94" s="9" t="s">
        <v>520</v>
      </c>
      <c r="F94" s="15" t="s">
        <v>161</v>
      </c>
      <c r="G94" s="9" t="n">
        <v>8</v>
      </c>
      <c r="H94" s="9" t="s">
        <v>509</v>
      </c>
      <c r="I94" s="9" t="s">
        <v>39</v>
      </c>
      <c r="J94" s="9" t="n">
        <v>4</v>
      </c>
      <c r="K94" s="9" t="s">
        <v>1334</v>
      </c>
    </row>
    <row r="95" customFormat="false" ht="15" hidden="false" customHeight="false" outlineLevel="0" collapsed="false">
      <c r="A95" s="10" t="s">
        <v>969</v>
      </c>
      <c r="B95" s="10" t="s">
        <v>524</v>
      </c>
      <c r="C95" s="10" t="s">
        <v>138</v>
      </c>
      <c r="D95" s="10" t="s">
        <v>969</v>
      </c>
      <c r="E95" s="10" t="s">
        <v>525</v>
      </c>
      <c r="F95" s="16" t="s">
        <v>192</v>
      </c>
      <c r="G95" s="10" t="n">
        <v>5</v>
      </c>
      <c r="H95" s="10" t="s">
        <v>509</v>
      </c>
      <c r="I95" s="10" t="s">
        <v>37</v>
      </c>
      <c r="J95" s="10" t="n">
        <v>4</v>
      </c>
      <c r="K95" s="10" t="s">
        <v>1335</v>
      </c>
    </row>
    <row r="96" customFormat="false" ht="15" hidden="false" customHeight="false" outlineLevel="0" collapsed="false">
      <c r="A96" s="9" t="s">
        <v>969</v>
      </c>
      <c r="B96" s="9" t="s">
        <v>528</v>
      </c>
      <c r="C96" s="9" t="s">
        <v>138</v>
      </c>
      <c r="D96" s="9" t="s">
        <v>969</v>
      </c>
      <c r="E96" s="9" t="s">
        <v>529</v>
      </c>
      <c r="F96" s="16" t="s">
        <v>192</v>
      </c>
      <c r="G96" s="9" t="n">
        <v>5</v>
      </c>
      <c r="H96" s="9" t="s">
        <v>509</v>
      </c>
      <c r="I96" s="9" t="s">
        <v>37</v>
      </c>
      <c r="J96" s="9" t="n">
        <v>4</v>
      </c>
      <c r="K96" s="9" t="s">
        <v>1336</v>
      </c>
    </row>
    <row r="97" customFormat="false" ht="15" hidden="false" customHeight="false" outlineLevel="0" collapsed="false">
      <c r="A97" s="10" t="s">
        <v>969</v>
      </c>
      <c r="B97" s="10" t="s">
        <v>532</v>
      </c>
      <c r="C97" s="10" t="s">
        <v>169</v>
      </c>
      <c r="D97" s="10" t="s">
        <v>969</v>
      </c>
      <c r="E97" s="10" t="s">
        <v>533</v>
      </c>
      <c r="F97" s="15" t="s">
        <v>161</v>
      </c>
      <c r="G97" s="10" t="n">
        <v>5</v>
      </c>
      <c r="H97" s="10" t="s">
        <v>509</v>
      </c>
      <c r="I97" s="10" t="s">
        <v>41</v>
      </c>
      <c r="J97" s="10" t="n">
        <v>5</v>
      </c>
      <c r="K97" s="10" t="s">
        <v>1337</v>
      </c>
    </row>
    <row r="98" customFormat="false" ht="15" hidden="false" customHeight="false" outlineLevel="0" collapsed="false">
      <c r="A98" s="9" t="s">
        <v>969</v>
      </c>
      <c r="B98" s="9" t="s">
        <v>537</v>
      </c>
      <c r="C98" s="9" t="s">
        <v>169</v>
      </c>
      <c r="D98" s="9" t="s">
        <v>969</v>
      </c>
      <c r="E98" s="9" t="s">
        <v>538</v>
      </c>
      <c r="F98" s="15" t="s">
        <v>161</v>
      </c>
      <c r="G98" s="9" t="n">
        <v>5</v>
      </c>
      <c r="H98" s="9" t="s">
        <v>509</v>
      </c>
      <c r="I98" s="9" t="s">
        <v>41</v>
      </c>
      <c r="J98" s="9" t="n">
        <v>5</v>
      </c>
      <c r="K98" s="9" t="s">
        <v>1338</v>
      </c>
    </row>
    <row r="99" customFormat="false" ht="15" hidden="false" customHeight="false" outlineLevel="0" collapsed="false">
      <c r="A99" s="10" t="s">
        <v>969</v>
      </c>
      <c r="B99" s="10" t="s">
        <v>542</v>
      </c>
      <c r="C99" s="10" t="s">
        <v>175</v>
      </c>
      <c r="D99" s="10" t="s">
        <v>969</v>
      </c>
      <c r="E99" s="10" t="s">
        <v>543</v>
      </c>
      <c r="F99" s="16" t="s">
        <v>192</v>
      </c>
      <c r="G99" s="10" t="n">
        <v>3</v>
      </c>
      <c r="H99" s="10" t="s">
        <v>509</v>
      </c>
      <c r="I99" s="10" t="s">
        <v>37</v>
      </c>
      <c r="J99" s="10" t="n">
        <v>5</v>
      </c>
      <c r="K99" s="10" t="s">
        <v>1339</v>
      </c>
    </row>
    <row r="100" customFormat="false" ht="15" hidden="false" customHeight="false" outlineLevel="0" collapsed="false">
      <c r="A100" s="9" t="s">
        <v>969</v>
      </c>
      <c r="B100" s="9" t="s">
        <v>547</v>
      </c>
      <c r="C100" s="9" t="s">
        <v>175</v>
      </c>
      <c r="D100" s="9" t="s">
        <v>969</v>
      </c>
      <c r="E100" s="9" t="s">
        <v>548</v>
      </c>
      <c r="F100" s="16" t="s">
        <v>192</v>
      </c>
      <c r="G100" s="9" t="n">
        <v>3</v>
      </c>
      <c r="H100" s="9" t="s">
        <v>509</v>
      </c>
      <c r="I100" s="9" t="s">
        <v>41</v>
      </c>
      <c r="J100" s="9" t="n">
        <v>5</v>
      </c>
      <c r="K100" s="9" t="s">
        <v>1339</v>
      </c>
    </row>
    <row r="101" customFormat="false" ht="15" hidden="false" customHeight="false" outlineLevel="0" collapsed="false">
      <c r="A101" s="10" t="s">
        <v>969</v>
      </c>
      <c r="B101" s="10" t="s">
        <v>552</v>
      </c>
      <c r="C101" s="10" t="s">
        <v>133</v>
      </c>
      <c r="D101" s="10" t="s">
        <v>969</v>
      </c>
      <c r="E101" s="10" t="s">
        <v>553</v>
      </c>
      <c r="F101" s="16" t="s">
        <v>192</v>
      </c>
      <c r="G101" s="10" t="n">
        <v>3</v>
      </c>
      <c r="H101" s="10" t="s">
        <v>509</v>
      </c>
      <c r="I101" s="10" t="s">
        <v>39</v>
      </c>
      <c r="J101" s="10" t="n">
        <v>5</v>
      </c>
      <c r="K101" s="10" t="s">
        <v>1340</v>
      </c>
    </row>
    <row r="102" customFormat="false" ht="15" hidden="false" customHeight="false" outlineLevel="0" collapsed="false">
      <c r="A102" s="9" t="s">
        <v>969</v>
      </c>
      <c r="B102" s="9" t="s">
        <v>556</v>
      </c>
      <c r="C102" s="9" t="s">
        <v>201</v>
      </c>
      <c r="D102" s="9" t="s">
        <v>969</v>
      </c>
      <c r="E102" s="9" t="s">
        <v>557</v>
      </c>
      <c r="F102" s="15" t="s">
        <v>161</v>
      </c>
      <c r="G102" s="9" t="n">
        <v>5</v>
      </c>
      <c r="H102" s="9" t="s">
        <v>509</v>
      </c>
      <c r="I102" s="9" t="s">
        <v>37</v>
      </c>
      <c r="J102" s="9" t="n">
        <v>5</v>
      </c>
      <c r="K102" s="9" t="s">
        <v>1341</v>
      </c>
    </row>
    <row r="103" customFormat="false" ht="15" hidden="false" customHeight="false" outlineLevel="0" collapsed="false">
      <c r="A103" s="10" t="s">
        <v>969</v>
      </c>
      <c r="B103" s="10" t="s">
        <v>561</v>
      </c>
      <c r="C103" s="10" t="s">
        <v>208</v>
      </c>
      <c r="D103" s="10" t="s">
        <v>969</v>
      </c>
      <c r="E103" s="10" t="s">
        <v>562</v>
      </c>
      <c r="F103" s="15" t="s">
        <v>161</v>
      </c>
      <c r="G103" s="10" t="n">
        <v>5</v>
      </c>
      <c r="H103" s="10" t="s">
        <v>509</v>
      </c>
      <c r="I103" s="10" t="s">
        <v>45</v>
      </c>
      <c r="J103" s="10" t="n">
        <v>5</v>
      </c>
      <c r="K103" s="10" t="s">
        <v>1342</v>
      </c>
    </row>
    <row r="104" customFormat="false" ht="15" hidden="false" customHeight="false" outlineLevel="0" collapsed="false">
      <c r="A104" s="9" t="s">
        <v>969</v>
      </c>
      <c r="B104" s="9" t="s">
        <v>566</v>
      </c>
      <c r="C104" s="9" t="s">
        <v>201</v>
      </c>
      <c r="D104" s="9" t="s">
        <v>969</v>
      </c>
      <c r="E104" s="9" t="s">
        <v>567</v>
      </c>
      <c r="F104" s="13" t="s">
        <v>128</v>
      </c>
      <c r="G104" s="9" t="n">
        <v>5</v>
      </c>
      <c r="H104" s="9" t="s">
        <v>509</v>
      </c>
      <c r="I104" s="9" t="s">
        <v>39</v>
      </c>
      <c r="J104" s="9" t="n">
        <v>6</v>
      </c>
      <c r="K104" s="9" t="s">
        <v>1343</v>
      </c>
    </row>
    <row r="105" customFormat="false" ht="15" hidden="false" customHeight="false" outlineLevel="0" collapsed="false">
      <c r="A105" s="10" t="s">
        <v>969</v>
      </c>
      <c r="B105" s="10" t="s">
        <v>571</v>
      </c>
      <c r="C105" s="10" t="s">
        <v>201</v>
      </c>
      <c r="D105" s="10" t="s">
        <v>969</v>
      </c>
      <c r="E105" s="10" t="s">
        <v>572</v>
      </c>
      <c r="F105" s="13" t="s">
        <v>128</v>
      </c>
      <c r="G105" s="10" t="n">
        <v>2</v>
      </c>
      <c r="H105" s="10" t="s">
        <v>509</v>
      </c>
      <c r="I105" s="10" t="s">
        <v>43</v>
      </c>
      <c r="J105" s="10" t="n">
        <v>6</v>
      </c>
      <c r="K105" s="10" t="s">
        <v>1343</v>
      </c>
    </row>
    <row r="106" customFormat="false" ht="15" hidden="false" customHeight="false" outlineLevel="0" collapsed="false">
      <c r="A106" s="9" t="s">
        <v>969</v>
      </c>
      <c r="B106" s="9" t="s">
        <v>575</v>
      </c>
      <c r="C106" s="9" t="s">
        <v>175</v>
      </c>
      <c r="D106" s="9" t="s">
        <v>969</v>
      </c>
      <c r="E106" s="9" t="s">
        <v>576</v>
      </c>
      <c r="F106" s="15" t="s">
        <v>161</v>
      </c>
      <c r="G106" s="9" t="n">
        <v>8</v>
      </c>
      <c r="H106" s="9" t="s">
        <v>579</v>
      </c>
      <c r="I106" s="9" t="s">
        <v>41</v>
      </c>
      <c r="J106" s="9" t="n">
        <v>6</v>
      </c>
      <c r="K106" s="9" t="s">
        <v>1344</v>
      </c>
    </row>
    <row r="107" customFormat="false" ht="15" hidden="false" customHeight="false" outlineLevel="0" collapsed="false">
      <c r="A107" s="10" t="s">
        <v>969</v>
      </c>
      <c r="B107" s="10" t="s">
        <v>581</v>
      </c>
      <c r="C107" s="10" t="s">
        <v>175</v>
      </c>
      <c r="D107" s="10" t="s">
        <v>969</v>
      </c>
      <c r="E107" s="10" t="s">
        <v>582</v>
      </c>
      <c r="F107" s="17" t="s">
        <v>270</v>
      </c>
      <c r="G107" s="10" t="n">
        <v>3</v>
      </c>
      <c r="H107" s="10" t="s">
        <v>579</v>
      </c>
      <c r="I107" s="10" t="s">
        <v>41</v>
      </c>
      <c r="J107" s="10" t="n">
        <v>6</v>
      </c>
      <c r="K107" s="10" t="s">
        <v>1345</v>
      </c>
    </row>
    <row r="108" customFormat="false" ht="15" hidden="false" customHeight="false" outlineLevel="0" collapsed="false">
      <c r="A108" s="9" t="s">
        <v>969</v>
      </c>
      <c r="B108" s="9" t="s">
        <v>586</v>
      </c>
      <c r="C108" s="9" t="s">
        <v>182</v>
      </c>
      <c r="D108" s="9" t="s">
        <v>969</v>
      </c>
      <c r="E108" s="9" t="s">
        <v>587</v>
      </c>
      <c r="F108" s="15" t="s">
        <v>161</v>
      </c>
      <c r="G108" s="9" t="n">
        <v>5</v>
      </c>
      <c r="H108" s="9" t="s">
        <v>579</v>
      </c>
      <c r="I108" s="9" t="s">
        <v>37</v>
      </c>
      <c r="J108" s="9" t="n">
        <v>6</v>
      </c>
      <c r="K108" s="9" t="s">
        <v>1346</v>
      </c>
    </row>
    <row r="109" customFormat="false" ht="15" hidden="false" customHeight="false" outlineLevel="0" collapsed="false">
      <c r="A109" s="10" t="s">
        <v>969</v>
      </c>
      <c r="B109" s="10" t="s">
        <v>591</v>
      </c>
      <c r="C109" s="10" t="s">
        <v>182</v>
      </c>
      <c r="D109" s="10" t="s">
        <v>969</v>
      </c>
      <c r="E109" s="10" t="s">
        <v>592</v>
      </c>
      <c r="F109" s="16" t="s">
        <v>192</v>
      </c>
      <c r="G109" s="10" t="n">
        <v>5</v>
      </c>
      <c r="H109" s="10" t="s">
        <v>579</v>
      </c>
      <c r="I109" s="10" t="s">
        <v>37</v>
      </c>
      <c r="J109" s="10" t="n">
        <v>6</v>
      </c>
      <c r="K109" s="10" t="s">
        <v>1347</v>
      </c>
    </row>
    <row r="110" customFormat="false" ht="15" hidden="false" customHeight="false" outlineLevel="0" collapsed="false">
      <c r="A110" s="9" t="s">
        <v>969</v>
      </c>
      <c r="B110" s="9" t="s">
        <v>596</v>
      </c>
      <c r="C110" s="9" t="s">
        <v>182</v>
      </c>
      <c r="D110" s="9" t="s">
        <v>969</v>
      </c>
      <c r="E110" s="9" t="s">
        <v>597</v>
      </c>
      <c r="F110" s="15" t="s">
        <v>161</v>
      </c>
      <c r="G110" s="9" t="n">
        <v>3</v>
      </c>
      <c r="H110" s="9" t="s">
        <v>579</v>
      </c>
      <c r="I110" s="9" t="s">
        <v>41</v>
      </c>
      <c r="J110" s="9" t="n">
        <v>7</v>
      </c>
      <c r="K110" s="9" t="s">
        <v>1348</v>
      </c>
    </row>
    <row r="111" customFormat="false" ht="15" hidden="false" customHeight="false" outlineLevel="0" collapsed="false">
      <c r="A111" s="10" t="s">
        <v>969</v>
      </c>
      <c r="B111" s="10" t="s">
        <v>601</v>
      </c>
      <c r="C111" s="10" t="s">
        <v>188</v>
      </c>
      <c r="D111" s="10" t="s">
        <v>969</v>
      </c>
      <c r="E111" s="10" t="s">
        <v>602</v>
      </c>
      <c r="F111" s="16" t="s">
        <v>192</v>
      </c>
      <c r="G111" s="10" t="n">
        <v>3</v>
      </c>
      <c r="H111" s="10" t="s">
        <v>579</v>
      </c>
      <c r="I111" s="10" t="s">
        <v>39</v>
      </c>
      <c r="J111" s="10" t="n">
        <v>7</v>
      </c>
      <c r="K111" s="10" t="s">
        <v>1349</v>
      </c>
    </row>
    <row r="112" customFormat="false" ht="15" hidden="false" customHeight="false" outlineLevel="0" collapsed="false">
      <c r="A112" s="9" t="s">
        <v>969</v>
      </c>
      <c r="B112" s="9" t="s">
        <v>605</v>
      </c>
      <c r="C112" s="9" t="s">
        <v>188</v>
      </c>
      <c r="D112" s="9" t="s">
        <v>969</v>
      </c>
      <c r="E112" s="9" t="s">
        <v>606</v>
      </c>
      <c r="F112" s="16" t="s">
        <v>192</v>
      </c>
      <c r="G112" s="9" t="n">
        <v>5</v>
      </c>
      <c r="H112" s="9" t="s">
        <v>579</v>
      </c>
      <c r="I112" s="9" t="s">
        <v>41</v>
      </c>
      <c r="J112" s="9" t="n">
        <v>7</v>
      </c>
      <c r="K112" s="9" t="s">
        <v>1350</v>
      </c>
    </row>
    <row r="113" customFormat="false" ht="15" hidden="false" customHeight="false" outlineLevel="0" collapsed="false">
      <c r="A113" s="10" t="s">
        <v>969</v>
      </c>
      <c r="B113" s="10" t="s">
        <v>610</v>
      </c>
      <c r="C113" s="10" t="s">
        <v>208</v>
      </c>
      <c r="D113" s="10" t="s">
        <v>969</v>
      </c>
      <c r="E113" s="10" t="s">
        <v>611</v>
      </c>
      <c r="F113" s="15" t="s">
        <v>161</v>
      </c>
      <c r="G113" s="10" t="n">
        <v>3</v>
      </c>
      <c r="H113" s="10" t="s">
        <v>579</v>
      </c>
      <c r="I113" s="10" t="s">
        <v>45</v>
      </c>
      <c r="J113" s="10" t="n">
        <v>7</v>
      </c>
      <c r="K113" s="10" t="s">
        <v>1351</v>
      </c>
    </row>
    <row r="114" customFormat="false" ht="15" hidden="false" customHeight="false" outlineLevel="0" collapsed="false">
      <c r="A114" s="9" t="s">
        <v>969</v>
      </c>
      <c r="B114" s="9" t="s">
        <v>615</v>
      </c>
      <c r="C114" s="9" t="s">
        <v>208</v>
      </c>
      <c r="D114" s="9" t="s">
        <v>969</v>
      </c>
      <c r="E114" s="9" t="s">
        <v>616</v>
      </c>
      <c r="F114" s="16" t="s">
        <v>192</v>
      </c>
      <c r="G114" s="9" t="n">
        <v>3</v>
      </c>
      <c r="H114" s="9" t="s">
        <v>579</v>
      </c>
      <c r="I114" s="9" t="s">
        <v>45</v>
      </c>
      <c r="J114" s="9" t="n">
        <v>7</v>
      </c>
      <c r="K114" s="9" t="s">
        <v>1352</v>
      </c>
    </row>
    <row r="115" customFormat="false" ht="15" hidden="false" customHeight="false" outlineLevel="0" collapsed="false">
      <c r="A115" s="10" t="s">
        <v>969</v>
      </c>
      <c r="B115" s="10" t="s">
        <v>619</v>
      </c>
      <c r="C115" s="10" t="s">
        <v>201</v>
      </c>
      <c r="D115" s="10" t="s">
        <v>969</v>
      </c>
      <c r="E115" s="10" t="s">
        <v>620</v>
      </c>
      <c r="F115" s="13" t="s">
        <v>128</v>
      </c>
      <c r="G115" s="10" t="n">
        <v>5</v>
      </c>
      <c r="H115" s="10" t="s">
        <v>579</v>
      </c>
      <c r="I115" s="10" t="s">
        <v>43</v>
      </c>
      <c r="J115" s="10" t="n">
        <v>7</v>
      </c>
      <c r="K115" s="10" t="s">
        <v>1331</v>
      </c>
    </row>
    <row r="116" customFormat="false" ht="15" hidden="false" customHeight="false" outlineLevel="0" collapsed="false">
      <c r="A116" s="9" t="s">
        <v>969</v>
      </c>
      <c r="B116" s="9" t="s">
        <v>624</v>
      </c>
      <c r="C116" s="9" t="s">
        <v>208</v>
      </c>
      <c r="D116" s="9" t="s">
        <v>969</v>
      </c>
      <c r="E116" s="9" t="s">
        <v>625</v>
      </c>
      <c r="F116" s="16" t="s">
        <v>192</v>
      </c>
      <c r="G116" s="9" t="n">
        <v>3</v>
      </c>
      <c r="H116" s="9" t="s">
        <v>579</v>
      </c>
      <c r="I116" s="9" t="s">
        <v>43</v>
      </c>
      <c r="J116" s="9" t="n">
        <v>7</v>
      </c>
      <c r="K116" s="9" t="s">
        <v>1353</v>
      </c>
    </row>
    <row r="117" customFormat="false" ht="15" hidden="false" customHeight="false" outlineLevel="0" collapsed="false">
      <c r="A117" s="10" t="s">
        <v>969</v>
      </c>
      <c r="B117" s="10" t="s">
        <v>629</v>
      </c>
      <c r="C117" s="10" t="s">
        <v>208</v>
      </c>
      <c r="D117" s="10" t="s">
        <v>969</v>
      </c>
      <c r="E117" s="10" t="s">
        <v>630</v>
      </c>
      <c r="F117" s="17" t="s">
        <v>270</v>
      </c>
      <c r="G117" s="10" t="n">
        <v>3</v>
      </c>
      <c r="H117" s="10" t="s">
        <v>579</v>
      </c>
      <c r="I117" s="10" t="s">
        <v>37</v>
      </c>
      <c r="J117" s="10" t="n">
        <v>7</v>
      </c>
      <c r="K117" s="10" t="s">
        <v>1351</v>
      </c>
    </row>
    <row r="118" customFormat="false" ht="15" hidden="false" customHeight="false" outlineLevel="0" collapsed="false">
      <c r="A118" s="9" t="s">
        <v>969</v>
      </c>
      <c r="B118" s="9" t="s">
        <v>633</v>
      </c>
      <c r="C118" s="9" t="s">
        <v>138</v>
      </c>
      <c r="D118" s="9" t="s">
        <v>969</v>
      </c>
      <c r="E118" s="9" t="s">
        <v>634</v>
      </c>
      <c r="F118" s="16" t="s">
        <v>192</v>
      </c>
      <c r="G118" s="9" t="n">
        <v>3</v>
      </c>
      <c r="H118" s="9" t="s">
        <v>637</v>
      </c>
      <c r="I118" s="9" t="s">
        <v>39</v>
      </c>
      <c r="J118" s="9" t="n">
        <v>8</v>
      </c>
      <c r="K118" s="9" t="s">
        <v>1354</v>
      </c>
    </row>
    <row r="119" customFormat="false" ht="15" hidden="false" customHeight="false" outlineLevel="0" collapsed="false">
      <c r="A119" s="10" t="s">
        <v>969</v>
      </c>
      <c r="B119" s="10" t="s">
        <v>639</v>
      </c>
      <c r="C119" s="10" t="s">
        <v>194</v>
      </c>
      <c r="D119" s="10" t="s">
        <v>969</v>
      </c>
      <c r="E119" s="10" t="s">
        <v>640</v>
      </c>
      <c r="F119" s="15" t="s">
        <v>161</v>
      </c>
      <c r="G119" s="10" t="n">
        <v>5</v>
      </c>
      <c r="H119" s="10" t="s">
        <v>637</v>
      </c>
      <c r="I119" s="10" t="s">
        <v>39</v>
      </c>
      <c r="J119" s="10" t="n">
        <v>8</v>
      </c>
      <c r="K119" s="10" t="s">
        <v>1355</v>
      </c>
    </row>
    <row r="120" customFormat="false" ht="15" hidden="false" customHeight="false" outlineLevel="0" collapsed="false">
      <c r="A120" s="9" t="s">
        <v>969</v>
      </c>
      <c r="B120" s="9" t="s">
        <v>643</v>
      </c>
      <c r="C120" s="9" t="s">
        <v>194</v>
      </c>
      <c r="D120" s="9" t="s">
        <v>969</v>
      </c>
      <c r="E120" s="9" t="s">
        <v>644</v>
      </c>
      <c r="F120" s="15" t="s">
        <v>161</v>
      </c>
      <c r="G120" s="9" t="n">
        <v>5</v>
      </c>
      <c r="H120" s="9" t="s">
        <v>637</v>
      </c>
      <c r="I120" s="9" t="s">
        <v>41</v>
      </c>
      <c r="J120" s="9" t="n">
        <v>8</v>
      </c>
      <c r="K120" s="9" t="s">
        <v>1356</v>
      </c>
    </row>
    <row r="121" customFormat="false" ht="15" hidden="false" customHeight="false" outlineLevel="0" collapsed="false">
      <c r="A121" s="10" t="s">
        <v>969</v>
      </c>
      <c r="B121" s="10" t="s">
        <v>648</v>
      </c>
      <c r="C121" s="10" t="s">
        <v>194</v>
      </c>
      <c r="D121" s="10" t="s">
        <v>969</v>
      </c>
      <c r="E121" s="10" t="s">
        <v>649</v>
      </c>
      <c r="F121" s="15" t="s">
        <v>161</v>
      </c>
      <c r="G121" s="10" t="n">
        <v>5</v>
      </c>
      <c r="H121" s="10" t="s">
        <v>637</v>
      </c>
      <c r="I121" s="10" t="s">
        <v>39</v>
      </c>
      <c r="J121" s="10" t="n">
        <v>8</v>
      </c>
      <c r="K121" s="10" t="s">
        <v>1355</v>
      </c>
    </row>
    <row r="122" customFormat="false" ht="15" hidden="false" customHeight="false" outlineLevel="0" collapsed="false">
      <c r="A122" s="9" t="s">
        <v>969</v>
      </c>
      <c r="B122" s="9" t="s">
        <v>652</v>
      </c>
      <c r="C122" s="9" t="s">
        <v>194</v>
      </c>
      <c r="D122" s="9" t="s">
        <v>969</v>
      </c>
      <c r="E122" s="9" t="s">
        <v>653</v>
      </c>
      <c r="F122" s="15" t="s">
        <v>161</v>
      </c>
      <c r="G122" s="9" t="n">
        <v>8</v>
      </c>
      <c r="H122" s="9" t="s">
        <v>637</v>
      </c>
      <c r="I122" s="9" t="s">
        <v>39</v>
      </c>
      <c r="J122" s="9" t="n">
        <v>8</v>
      </c>
      <c r="K122" s="9" t="s">
        <v>1357</v>
      </c>
    </row>
    <row r="123" customFormat="false" ht="15" hidden="false" customHeight="false" outlineLevel="0" collapsed="false">
      <c r="A123" s="10" t="s">
        <v>969</v>
      </c>
      <c r="B123" s="10" t="s">
        <v>657</v>
      </c>
      <c r="C123" s="10" t="s">
        <v>194</v>
      </c>
      <c r="D123" s="10" t="s">
        <v>969</v>
      </c>
      <c r="E123" s="10" t="s">
        <v>658</v>
      </c>
      <c r="F123" s="16" t="s">
        <v>192</v>
      </c>
      <c r="G123" s="10" t="n">
        <v>5</v>
      </c>
      <c r="H123" s="10" t="s">
        <v>637</v>
      </c>
      <c r="I123" s="10" t="s">
        <v>37</v>
      </c>
      <c r="J123" s="10" t="n">
        <v>9</v>
      </c>
      <c r="K123" s="10" t="s">
        <v>1357</v>
      </c>
    </row>
    <row r="124" customFormat="false" ht="15" hidden="false" customHeight="false" outlineLevel="0" collapsed="false">
      <c r="A124" s="9" t="s">
        <v>969</v>
      </c>
      <c r="B124" s="9" t="s">
        <v>661</v>
      </c>
      <c r="C124" s="9" t="s">
        <v>194</v>
      </c>
      <c r="D124" s="9" t="s">
        <v>969</v>
      </c>
      <c r="E124" s="9" t="s">
        <v>662</v>
      </c>
      <c r="F124" s="16" t="s">
        <v>192</v>
      </c>
      <c r="G124" s="9" t="n">
        <v>3</v>
      </c>
      <c r="H124" s="9" t="s">
        <v>637</v>
      </c>
      <c r="I124" s="9" t="s">
        <v>41</v>
      </c>
      <c r="J124" s="9" t="n">
        <v>9</v>
      </c>
      <c r="K124" s="9" t="s">
        <v>1357</v>
      </c>
    </row>
    <row r="125" customFormat="false" ht="15" hidden="false" customHeight="false" outlineLevel="0" collapsed="false">
      <c r="A125" s="10" t="s">
        <v>969</v>
      </c>
      <c r="B125" s="10" t="s">
        <v>666</v>
      </c>
      <c r="C125" s="10" t="s">
        <v>194</v>
      </c>
      <c r="D125" s="10" t="s">
        <v>969</v>
      </c>
      <c r="E125" s="10" t="s">
        <v>667</v>
      </c>
      <c r="F125" s="15" t="s">
        <v>161</v>
      </c>
      <c r="G125" s="10" t="n">
        <v>8</v>
      </c>
      <c r="H125" s="10" t="s">
        <v>637</v>
      </c>
      <c r="I125" s="10" t="s">
        <v>41</v>
      </c>
      <c r="J125" s="10" t="n">
        <v>9</v>
      </c>
      <c r="K125" s="10" t="s">
        <v>1358</v>
      </c>
    </row>
    <row r="126" customFormat="false" ht="15" hidden="false" customHeight="false" outlineLevel="0" collapsed="false">
      <c r="A126" s="9" t="s">
        <v>969</v>
      </c>
      <c r="B126" s="9" t="s">
        <v>671</v>
      </c>
      <c r="C126" s="9" t="s">
        <v>194</v>
      </c>
      <c r="D126" s="9" t="s">
        <v>969</v>
      </c>
      <c r="E126" s="9" t="s">
        <v>672</v>
      </c>
      <c r="F126" s="15" t="s">
        <v>161</v>
      </c>
      <c r="G126" s="9" t="n">
        <v>3</v>
      </c>
      <c r="H126" s="9" t="s">
        <v>637</v>
      </c>
      <c r="I126" s="9" t="s">
        <v>39</v>
      </c>
      <c r="J126" s="9" t="n">
        <v>9</v>
      </c>
      <c r="K126" s="9" t="s">
        <v>1356</v>
      </c>
    </row>
    <row r="127" customFormat="false" ht="15" hidden="false" customHeight="false" outlineLevel="0" collapsed="false">
      <c r="A127" s="10" t="s">
        <v>969</v>
      </c>
      <c r="B127" s="10" t="s">
        <v>676</v>
      </c>
      <c r="C127" s="10" t="s">
        <v>194</v>
      </c>
      <c r="D127" s="10" t="s">
        <v>969</v>
      </c>
      <c r="E127" s="10" t="s">
        <v>677</v>
      </c>
      <c r="F127" s="16" t="s">
        <v>192</v>
      </c>
      <c r="G127" s="10" t="n">
        <v>5</v>
      </c>
      <c r="H127" s="10" t="s">
        <v>637</v>
      </c>
      <c r="I127" s="10" t="s">
        <v>41</v>
      </c>
      <c r="J127" s="10" t="n">
        <v>9</v>
      </c>
      <c r="K127" s="10" t="s">
        <v>1358</v>
      </c>
    </row>
    <row r="128" customFormat="false" ht="15" hidden="false" customHeight="false" outlineLevel="0" collapsed="false">
      <c r="A128" s="9" t="s">
        <v>969</v>
      </c>
      <c r="B128" s="9" t="s">
        <v>681</v>
      </c>
      <c r="C128" s="9" t="s">
        <v>201</v>
      </c>
      <c r="D128" s="9" t="s">
        <v>969</v>
      </c>
      <c r="E128" s="9" t="s">
        <v>682</v>
      </c>
      <c r="F128" s="16" t="s">
        <v>192</v>
      </c>
      <c r="G128" s="9" t="n">
        <v>8</v>
      </c>
      <c r="H128" s="9" t="s">
        <v>637</v>
      </c>
      <c r="I128" s="9" t="s">
        <v>39</v>
      </c>
      <c r="J128" s="9" t="n">
        <v>10</v>
      </c>
      <c r="K128" s="9" t="s">
        <v>1359</v>
      </c>
    </row>
    <row r="129" customFormat="false" ht="15" hidden="false" customHeight="false" outlineLevel="0" collapsed="false">
      <c r="A129" s="10" t="s">
        <v>969</v>
      </c>
      <c r="B129" s="10" t="s">
        <v>686</v>
      </c>
      <c r="C129" s="10" t="s">
        <v>201</v>
      </c>
      <c r="D129" s="10" t="s">
        <v>969</v>
      </c>
      <c r="E129" s="10" t="s">
        <v>687</v>
      </c>
      <c r="F129" s="16" t="s">
        <v>192</v>
      </c>
      <c r="G129" s="10" t="n">
        <v>3</v>
      </c>
      <c r="H129" s="10" t="s">
        <v>637</v>
      </c>
      <c r="I129" s="10" t="s">
        <v>41</v>
      </c>
      <c r="J129" s="10" t="n">
        <v>10</v>
      </c>
      <c r="K129" s="10" t="s">
        <v>1359</v>
      </c>
    </row>
    <row r="130" customFormat="false" ht="15" hidden="false" customHeight="false" outlineLevel="0" collapsed="false">
      <c r="A130" s="9" t="s">
        <v>969</v>
      </c>
      <c r="B130" s="9" t="s">
        <v>691</v>
      </c>
      <c r="C130" s="9" t="s">
        <v>201</v>
      </c>
      <c r="D130" s="9" t="s">
        <v>969</v>
      </c>
      <c r="E130" s="9" t="s">
        <v>692</v>
      </c>
      <c r="F130" s="17" t="s">
        <v>270</v>
      </c>
      <c r="G130" s="9" t="n">
        <v>5</v>
      </c>
      <c r="H130" s="9" t="s">
        <v>637</v>
      </c>
      <c r="I130" s="9" t="s">
        <v>37</v>
      </c>
      <c r="J130" s="9" t="n">
        <v>10</v>
      </c>
      <c r="K130" s="9" t="s">
        <v>1360</v>
      </c>
    </row>
    <row r="131" customFormat="false" ht="15" hidden="false" customHeight="false" outlineLevel="0" collapsed="false">
      <c r="A131" s="10" t="s">
        <v>969</v>
      </c>
      <c r="B131" s="10" t="s">
        <v>696</v>
      </c>
      <c r="C131" s="10" t="s">
        <v>201</v>
      </c>
      <c r="D131" s="10" t="s">
        <v>969</v>
      </c>
      <c r="E131" s="10" t="s">
        <v>697</v>
      </c>
      <c r="F131" s="17" t="s">
        <v>270</v>
      </c>
      <c r="G131" s="10" t="n">
        <v>5</v>
      </c>
      <c r="H131" s="10" t="s">
        <v>637</v>
      </c>
      <c r="I131" s="10" t="s">
        <v>37</v>
      </c>
      <c r="J131" s="10" t="n">
        <v>10</v>
      </c>
      <c r="K131" s="10" t="s">
        <v>1361</v>
      </c>
    </row>
    <row r="132" customFormat="false" ht="15" hidden="false" customHeight="false" outlineLevel="0" collapsed="false">
      <c r="A132" s="9" t="s">
        <v>969</v>
      </c>
      <c r="B132" s="9" t="s">
        <v>701</v>
      </c>
      <c r="C132" s="9" t="s">
        <v>144</v>
      </c>
      <c r="D132" s="9" t="s">
        <v>969</v>
      </c>
      <c r="E132" s="9" t="s">
        <v>702</v>
      </c>
      <c r="F132" s="17" t="s">
        <v>270</v>
      </c>
      <c r="G132" s="9" t="n">
        <v>8</v>
      </c>
      <c r="H132" s="9" t="s">
        <v>637</v>
      </c>
      <c r="I132" s="9" t="s">
        <v>41</v>
      </c>
      <c r="J132" s="9" t="n">
        <v>10</v>
      </c>
      <c r="K132" s="9" t="s">
        <v>1362</v>
      </c>
    </row>
    <row r="133" customFormat="false" ht="15" hidden="false" customHeight="false" outlineLevel="0" collapsed="false">
      <c r="A133" s="10" t="s">
        <v>758</v>
      </c>
      <c r="B133" s="10" t="s">
        <v>760</v>
      </c>
      <c r="C133" s="10" t="s">
        <v>389</v>
      </c>
      <c r="D133" s="10" t="s">
        <v>758</v>
      </c>
      <c r="E133" s="10" t="s">
        <v>762</v>
      </c>
      <c r="F133" s="13" t="s">
        <v>128</v>
      </c>
      <c r="G133" s="10"/>
      <c r="H133" s="10" t="s">
        <v>393</v>
      </c>
      <c r="I133" s="10" t="s">
        <v>43</v>
      </c>
      <c r="J133" s="10" t="n">
        <v>1</v>
      </c>
      <c r="K133" s="10" t="s">
        <v>1363</v>
      </c>
    </row>
    <row r="134" customFormat="false" ht="15" hidden="false" customHeight="false" outlineLevel="0" collapsed="false">
      <c r="A134" s="9" t="s">
        <v>758</v>
      </c>
      <c r="B134" s="9" t="s">
        <v>763</v>
      </c>
      <c r="C134" s="9" t="s">
        <v>407</v>
      </c>
      <c r="D134" s="9" t="s">
        <v>758</v>
      </c>
      <c r="E134" s="9" t="s">
        <v>764</v>
      </c>
      <c r="F134" s="13" t="s">
        <v>128</v>
      </c>
      <c r="G134" s="9"/>
      <c r="H134" s="9" t="s">
        <v>393</v>
      </c>
      <c r="I134" s="9" t="s">
        <v>39</v>
      </c>
      <c r="J134" s="9" t="n">
        <v>1</v>
      </c>
      <c r="K134" s="9" t="s">
        <v>1363</v>
      </c>
    </row>
    <row r="135" customFormat="false" ht="15" hidden="false" customHeight="false" outlineLevel="0" collapsed="false">
      <c r="A135" s="10" t="s">
        <v>758</v>
      </c>
      <c r="B135" s="10" t="s">
        <v>765</v>
      </c>
      <c r="C135" s="10" t="s">
        <v>395</v>
      </c>
      <c r="D135" s="10" t="s">
        <v>758</v>
      </c>
      <c r="E135" s="10" t="s">
        <v>766</v>
      </c>
      <c r="F135" s="13" t="s">
        <v>128</v>
      </c>
      <c r="G135" s="10"/>
      <c r="H135" s="10" t="s">
        <v>393</v>
      </c>
      <c r="I135" s="10" t="s">
        <v>43</v>
      </c>
      <c r="J135" s="10" t="n">
        <v>1</v>
      </c>
      <c r="K135" s="10" t="s">
        <v>1363</v>
      </c>
    </row>
    <row r="136" customFormat="false" ht="15" hidden="false" customHeight="false" outlineLevel="0" collapsed="false">
      <c r="A136" s="9" t="s">
        <v>758</v>
      </c>
      <c r="B136" s="9" t="s">
        <v>767</v>
      </c>
      <c r="C136" s="9" t="s">
        <v>416</v>
      </c>
      <c r="D136" s="9" t="s">
        <v>758</v>
      </c>
      <c r="E136" s="9" t="s">
        <v>769</v>
      </c>
      <c r="F136" s="13" t="s">
        <v>128</v>
      </c>
      <c r="G136" s="9"/>
      <c r="H136" s="9" t="s">
        <v>393</v>
      </c>
      <c r="I136" s="9" t="s">
        <v>39</v>
      </c>
      <c r="J136" s="9" t="n">
        <v>1</v>
      </c>
      <c r="K136" s="9" t="s">
        <v>1364</v>
      </c>
    </row>
    <row r="137" customFormat="false" ht="15" hidden="false" customHeight="false" outlineLevel="0" collapsed="false">
      <c r="A137" s="10" t="s">
        <v>758</v>
      </c>
      <c r="B137" s="10" t="s">
        <v>770</v>
      </c>
      <c r="C137" s="10" t="s">
        <v>407</v>
      </c>
      <c r="D137" s="10" t="s">
        <v>758</v>
      </c>
      <c r="E137" s="10" t="s">
        <v>771</v>
      </c>
      <c r="F137" s="13" t="s">
        <v>128</v>
      </c>
      <c r="G137" s="10"/>
      <c r="H137" s="10" t="s">
        <v>393</v>
      </c>
      <c r="I137" s="10" t="s">
        <v>39</v>
      </c>
      <c r="J137" s="10" t="n">
        <v>1</v>
      </c>
      <c r="K137" s="10" t="s">
        <v>1364</v>
      </c>
    </row>
    <row r="138" customFormat="false" ht="15" hidden="false" customHeight="false" outlineLevel="0" collapsed="false">
      <c r="A138" s="9" t="s">
        <v>758</v>
      </c>
      <c r="B138" s="9" t="s">
        <v>772</v>
      </c>
      <c r="C138" s="9" t="s">
        <v>519</v>
      </c>
      <c r="D138" s="9" t="s">
        <v>758</v>
      </c>
      <c r="E138" s="9" t="s">
        <v>773</v>
      </c>
      <c r="F138" s="15" t="s">
        <v>161</v>
      </c>
      <c r="G138" s="9"/>
      <c r="H138" s="9" t="s">
        <v>509</v>
      </c>
      <c r="I138" s="9" t="s">
        <v>39</v>
      </c>
      <c r="J138" s="9" t="n">
        <v>4</v>
      </c>
      <c r="K138" s="9" t="s">
        <v>1364</v>
      </c>
    </row>
    <row r="139" customFormat="false" ht="15" hidden="false" customHeight="false" outlineLevel="0" collapsed="false">
      <c r="A139" s="10" t="s">
        <v>758</v>
      </c>
      <c r="B139" s="10" t="s">
        <v>774</v>
      </c>
      <c r="C139" s="10" t="s">
        <v>537</v>
      </c>
      <c r="D139" s="10" t="s">
        <v>758</v>
      </c>
      <c r="E139" s="10" t="s">
        <v>775</v>
      </c>
      <c r="F139" s="15" t="s">
        <v>161</v>
      </c>
      <c r="G139" s="10"/>
      <c r="H139" s="10" t="s">
        <v>509</v>
      </c>
      <c r="I139" s="10" t="s">
        <v>41</v>
      </c>
      <c r="J139" s="10" t="n">
        <v>5</v>
      </c>
      <c r="K139" s="10" t="s">
        <v>1364</v>
      </c>
    </row>
    <row r="140" customFormat="false" ht="15" hidden="false" customHeight="false" outlineLevel="0" collapsed="false">
      <c r="A140" s="9" t="s">
        <v>758</v>
      </c>
      <c r="B140" s="9" t="s">
        <v>776</v>
      </c>
      <c r="C140" s="9" t="s">
        <v>639</v>
      </c>
      <c r="D140" s="9" t="s">
        <v>758</v>
      </c>
      <c r="E140" s="9" t="s">
        <v>777</v>
      </c>
      <c r="F140" s="15" t="s">
        <v>161</v>
      </c>
      <c r="G140" s="9"/>
      <c r="H140" s="9" t="s">
        <v>637</v>
      </c>
      <c r="I140" s="9" t="s">
        <v>39</v>
      </c>
      <c r="J140" s="9" t="n">
        <v>8</v>
      </c>
      <c r="K140" s="9" t="s">
        <v>1364</v>
      </c>
    </row>
    <row r="141" customFormat="false" ht="15" hidden="false" customHeight="false" outlineLevel="0" collapsed="false">
      <c r="A141" s="10" t="s">
        <v>758</v>
      </c>
      <c r="B141" s="10" t="s">
        <v>778</v>
      </c>
      <c r="C141" s="10" t="s">
        <v>420</v>
      </c>
      <c r="D141" s="10" t="s">
        <v>758</v>
      </c>
      <c r="E141" s="10" t="s">
        <v>780</v>
      </c>
      <c r="F141" s="13" t="s">
        <v>128</v>
      </c>
      <c r="G141" s="10"/>
      <c r="H141" s="10" t="s">
        <v>424</v>
      </c>
      <c r="I141" s="10" t="s">
        <v>41</v>
      </c>
      <c r="J141" s="10" t="n">
        <v>1</v>
      </c>
      <c r="K141" s="10" t="s">
        <v>1365</v>
      </c>
    </row>
    <row r="142" customFormat="false" ht="15" hidden="false" customHeight="false" outlineLevel="0" collapsed="false">
      <c r="A142" s="9" t="s">
        <v>758</v>
      </c>
      <c r="B142" s="9" t="s">
        <v>781</v>
      </c>
      <c r="C142" s="9" t="s">
        <v>430</v>
      </c>
      <c r="D142" s="9" t="s">
        <v>758</v>
      </c>
      <c r="E142" s="9" t="s">
        <v>782</v>
      </c>
      <c r="F142" s="13" t="s">
        <v>128</v>
      </c>
      <c r="G142" s="9"/>
      <c r="H142" s="9" t="s">
        <v>424</v>
      </c>
      <c r="I142" s="9" t="s">
        <v>41</v>
      </c>
      <c r="J142" s="9" t="n">
        <v>1</v>
      </c>
      <c r="K142" s="9" t="s">
        <v>1365</v>
      </c>
    </row>
    <row r="143" customFormat="false" ht="15" hidden="false" customHeight="false" outlineLevel="0" collapsed="false">
      <c r="A143" s="10" t="s">
        <v>758</v>
      </c>
      <c r="B143" s="10" t="s">
        <v>783</v>
      </c>
      <c r="C143" s="10" t="s">
        <v>519</v>
      </c>
      <c r="D143" s="10" t="s">
        <v>758</v>
      </c>
      <c r="E143" s="10" t="s">
        <v>784</v>
      </c>
      <c r="F143" s="15" t="s">
        <v>161</v>
      </c>
      <c r="G143" s="10"/>
      <c r="H143" s="10" t="s">
        <v>509</v>
      </c>
      <c r="I143" s="10" t="s">
        <v>39</v>
      </c>
      <c r="J143" s="10" t="n">
        <v>4</v>
      </c>
      <c r="K143" s="10" t="s">
        <v>1365</v>
      </c>
    </row>
    <row r="144" customFormat="false" ht="15" hidden="false" customHeight="false" outlineLevel="0" collapsed="false">
      <c r="A144" s="9" t="s">
        <v>758</v>
      </c>
      <c r="B144" s="9" t="s">
        <v>785</v>
      </c>
      <c r="C144" s="9" t="s">
        <v>681</v>
      </c>
      <c r="D144" s="9" t="s">
        <v>758</v>
      </c>
      <c r="E144" s="9" t="s">
        <v>786</v>
      </c>
      <c r="F144" s="16" t="s">
        <v>192</v>
      </c>
      <c r="G144" s="9"/>
      <c r="H144" s="9" t="s">
        <v>637</v>
      </c>
      <c r="I144" s="9" t="s">
        <v>39</v>
      </c>
      <c r="J144" s="9" t="n">
        <v>10</v>
      </c>
      <c r="K144" s="9" t="s">
        <v>1365</v>
      </c>
    </row>
    <row r="145" customFormat="false" ht="15" hidden="false" customHeight="false" outlineLevel="0" collapsed="false">
      <c r="A145" s="10" t="s">
        <v>758</v>
      </c>
      <c r="B145" s="10" t="s">
        <v>787</v>
      </c>
      <c r="C145" s="10" t="s">
        <v>399</v>
      </c>
      <c r="D145" s="10" t="s">
        <v>758</v>
      </c>
      <c r="E145" s="10" t="s">
        <v>789</v>
      </c>
      <c r="F145" s="13" t="s">
        <v>128</v>
      </c>
      <c r="G145" s="10"/>
      <c r="H145" s="10" t="s">
        <v>393</v>
      </c>
      <c r="I145" s="10" t="s">
        <v>37</v>
      </c>
      <c r="J145" s="10" t="n">
        <v>1</v>
      </c>
      <c r="K145" s="10" t="s">
        <v>1366</v>
      </c>
    </row>
    <row r="146" customFormat="false" ht="15" hidden="false" customHeight="false" outlineLevel="0" collapsed="false">
      <c r="A146" s="9" t="s">
        <v>758</v>
      </c>
      <c r="B146" s="9" t="s">
        <v>790</v>
      </c>
      <c r="C146" s="9" t="s">
        <v>438</v>
      </c>
      <c r="D146" s="9" t="s">
        <v>758</v>
      </c>
      <c r="E146" s="9" t="s">
        <v>791</v>
      </c>
      <c r="F146" s="13" t="s">
        <v>128</v>
      </c>
      <c r="G146" s="9"/>
      <c r="H146" s="9" t="s">
        <v>424</v>
      </c>
      <c r="I146" s="9" t="s">
        <v>37</v>
      </c>
      <c r="J146" s="9" t="n">
        <v>2</v>
      </c>
      <c r="K146" s="9" t="s">
        <v>1366</v>
      </c>
    </row>
    <row r="147" customFormat="false" ht="15" hidden="false" customHeight="false" outlineLevel="0" collapsed="false">
      <c r="A147" s="10" t="s">
        <v>758</v>
      </c>
      <c r="B147" s="10" t="s">
        <v>792</v>
      </c>
      <c r="C147" s="10" t="s">
        <v>486</v>
      </c>
      <c r="D147" s="10" t="s">
        <v>758</v>
      </c>
      <c r="E147" s="10" t="s">
        <v>793</v>
      </c>
      <c r="F147" s="15" t="s">
        <v>161</v>
      </c>
      <c r="G147" s="10"/>
      <c r="H147" s="10" t="s">
        <v>455</v>
      </c>
      <c r="I147" s="10" t="s">
        <v>37</v>
      </c>
      <c r="J147" s="10" t="n">
        <v>3</v>
      </c>
      <c r="K147" s="10" t="s">
        <v>1366</v>
      </c>
    </row>
    <row r="148" customFormat="false" ht="15" hidden="false" customHeight="false" outlineLevel="0" collapsed="false">
      <c r="A148" s="9" t="s">
        <v>758</v>
      </c>
      <c r="B148" s="9" t="s">
        <v>794</v>
      </c>
      <c r="C148" s="9" t="s">
        <v>537</v>
      </c>
      <c r="D148" s="9" t="s">
        <v>758</v>
      </c>
      <c r="E148" s="9" t="s">
        <v>795</v>
      </c>
      <c r="F148" s="15" t="s">
        <v>161</v>
      </c>
      <c r="G148" s="9"/>
      <c r="H148" s="9" t="s">
        <v>509</v>
      </c>
      <c r="I148" s="9" t="s">
        <v>41</v>
      </c>
      <c r="J148" s="9" t="n">
        <v>5</v>
      </c>
      <c r="K148" s="9" t="s">
        <v>1366</v>
      </c>
    </row>
    <row r="149" customFormat="false" ht="15" hidden="false" customHeight="false" outlineLevel="0" collapsed="false">
      <c r="A149" s="10" t="s">
        <v>758</v>
      </c>
      <c r="B149" s="10" t="s">
        <v>796</v>
      </c>
      <c r="C149" s="10" t="s">
        <v>430</v>
      </c>
      <c r="D149" s="10" t="s">
        <v>758</v>
      </c>
      <c r="E149" s="10" t="s">
        <v>798</v>
      </c>
      <c r="F149" s="13" t="s">
        <v>128</v>
      </c>
      <c r="G149" s="10"/>
      <c r="H149" s="10" t="s">
        <v>424</v>
      </c>
      <c r="I149" s="10" t="s">
        <v>41</v>
      </c>
      <c r="J149" s="10" t="n">
        <v>1</v>
      </c>
      <c r="K149" s="10" t="s">
        <v>1367</v>
      </c>
    </row>
    <row r="150" customFormat="false" ht="15" hidden="false" customHeight="false" outlineLevel="0" collapsed="false">
      <c r="A150" s="9" t="s">
        <v>758</v>
      </c>
      <c r="B150" s="9" t="s">
        <v>799</v>
      </c>
      <c r="C150" s="9" t="s">
        <v>426</v>
      </c>
      <c r="D150" s="9" t="s">
        <v>758</v>
      </c>
      <c r="E150" s="9" t="s">
        <v>800</v>
      </c>
      <c r="F150" s="13" t="s">
        <v>128</v>
      </c>
      <c r="G150" s="9"/>
      <c r="H150" s="9" t="s">
        <v>424</v>
      </c>
      <c r="I150" s="9" t="s">
        <v>41</v>
      </c>
      <c r="J150" s="9" t="n">
        <v>1</v>
      </c>
      <c r="K150" s="9" t="s">
        <v>1367</v>
      </c>
    </row>
    <row r="151" customFormat="false" ht="15" hidden="false" customHeight="false" outlineLevel="0" collapsed="false">
      <c r="A151" s="10" t="s">
        <v>758</v>
      </c>
      <c r="B151" s="10" t="s">
        <v>801</v>
      </c>
      <c r="C151" s="10" t="s">
        <v>420</v>
      </c>
      <c r="D151" s="10" t="s">
        <v>758</v>
      </c>
      <c r="E151" s="10" t="s">
        <v>802</v>
      </c>
      <c r="F151" s="13" t="s">
        <v>128</v>
      </c>
      <c r="G151" s="10"/>
      <c r="H151" s="10" t="s">
        <v>424</v>
      </c>
      <c r="I151" s="10" t="s">
        <v>41</v>
      </c>
      <c r="J151" s="10" t="n">
        <v>1</v>
      </c>
      <c r="K151" s="10" t="s">
        <v>1367</v>
      </c>
    </row>
    <row r="152" customFormat="false" ht="15" hidden="false" customHeight="false" outlineLevel="0" collapsed="false">
      <c r="A152" s="9" t="s">
        <v>758</v>
      </c>
      <c r="B152" s="9" t="s">
        <v>803</v>
      </c>
      <c r="C152" s="9" t="s">
        <v>407</v>
      </c>
      <c r="D152" s="9" t="s">
        <v>758</v>
      </c>
      <c r="E152" s="9" t="s">
        <v>805</v>
      </c>
      <c r="F152" s="13" t="s">
        <v>128</v>
      </c>
      <c r="G152" s="9"/>
      <c r="H152" s="9" t="s">
        <v>393</v>
      </c>
      <c r="I152" s="9" t="s">
        <v>39</v>
      </c>
      <c r="J152" s="9" t="n">
        <v>1</v>
      </c>
      <c r="K152" s="9" t="s">
        <v>1368</v>
      </c>
    </row>
    <row r="153" customFormat="false" ht="15" hidden="false" customHeight="false" outlineLevel="0" collapsed="false">
      <c r="A153" s="10" t="s">
        <v>758</v>
      </c>
      <c r="B153" s="10" t="s">
        <v>806</v>
      </c>
      <c r="C153" s="10" t="s">
        <v>420</v>
      </c>
      <c r="D153" s="10" t="s">
        <v>758</v>
      </c>
      <c r="E153" s="10" t="s">
        <v>807</v>
      </c>
      <c r="F153" s="13" t="s">
        <v>128</v>
      </c>
      <c r="G153" s="10"/>
      <c r="H153" s="10" t="s">
        <v>424</v>
      </c>
      <c r="I153" s="10" t="s">
        <v>41</v>
      </c>
      <c r="J153" s="10" t="n">
        <v>1</v>
      </c>
      <c r="K153" s="10" t="s">
        <v>1368</v>
      </c>
    </row>
    <row r="154" customFormat="false" ht="15" hidden="false" customHeight="false" outlineLevel="0" collapsed="false">
      <c r="A154" s="9" t="s">
        <v>758</v>
      </c>
      <c r="B154" s="9" t="s">
        <v>808</v>
      </c>
      <c r="C154" s="9" t="s">
        <v>434</v>
      </c>
      <c r="D154" s="9" t="s">
        <v>758</v>
      </c>
      <c r="E154" s="9" t="s">
        <v>809</v>
      </c>
      <c r="F154" s="13" t="s">
        <v>128</v>
      </c>
      <c r="G154" s="9"/>
      <c r="H154" s="9" t="s">
        <v>424</v>
      </c>
      <c r="I154" s="9" t="s">
        <v>41</v>
      </c>
      <c r="J154" s="9" t="n">
        <v>2</v>
      </c>
      <c r="K154" s="9" t="s">
        <v>1368</v>
      </c>
    </row>
    <row r="155" customFormat="false" ht="15" hidden="false" customHeight="false" outlineLevel="0" collapsed="false">
      <c r="A155" s="10" t="s">
        <v>758</v>
      </c>
      <c r="B155" s="10" t="s">
        <v>810</v>
      </c>
      <c r="C155" s="10" t="s">
        <v>643</v>
      </c>
      <c r="D155" s="10" t="s">
        <v>758</v>
      </c>
      <c r="E155" s="10" t="s">
        <v>811</v>
      </c>
      <c r="F155" s="15" t="s">
        <v>161</v>
      </c>
      <c r="G155" s="10"/>
      <c r="H155" s="10" t="s">
        <v>637</v>
      </c>
      <c r="I155" s="10" t="s">
        <v>41</v>
      </c>
      <c r="J155" s="10" t="n">
        <v>8</v>
      </c>
      <c r="K155" s="10" t="s">
        <v>1368</v>
      </c>
    </row>
    <row r="156" customFormat="false" ht="15" hidden="false" customHeight="false" outlineLevel="0" collapsed="false">
      <c r="A156" s="9" t="s">
        <v>758</v>
      </c>
      <c r="B156" s="9" t="s">
        <v>812</v>
      </c>
      <c r="C156" s="9" t="s">
        <v>395</v>
      </c>
      <c r="D156" s="9" t="s">
        <v>758</v>
      </c>
      <c r="E156" s="9" t="s">
        <v>814</v>
      </c>
      <c r="F156" s="13" t="s">
        <v>128</v>
      </c>
      <c r="G156" s="9"/>
      <c r="H156" s="9" t="s">
        <v>393</v>
      </c>
      <c r="I156" s="9" t="s">
        <v>43</v>
      </c>
      <c r="J156" s="9" t="n">
        <v>1</v>
      </c>
      <c r="K156" s="9" t="s">
        <v>1369</v>
      </c>
    </row>
    <row r="157" customFormat="false" ht="15" hidden="false" customHeight="false" outlineLevel="0" collapsed="false">
      <c r="A157" s="10" t="s">
        <v>758</v>
      </c>
      <c r="B157" s="10" t="s">
        <v>815</v>
      </c>
      <c r="C157" s="10" t="s">
        <v>495</v>
      </c>
      <c r="D157" s="10" t="s">
        <v>758</v>
      </c>
      <c r="E157" s="10" t="s">
        <v>816</v>
      </c>
      <c r="F157" s="15" t="s">
        <v>161</v>
      </c>
      <c r="G157" s="10"/>
      <c r="H157" s="10" t="s">
        <v>455</v>
      </c>
      <c r="I157" s="10" t="s">
        <v>43</v>
      </c>
      <c r="J157" s="10" t="n">
        <v>3</v>
      </c>
      <c r="K157" s="10" t="s">
        <v>1369</v>
      </c>
    </row>
    <row r="158" customFormat="false" ht="15" hidden="false" customHeight="false" outlineLevel="0" collapsed="false">
      <c r="A158" s="9" t="s">
        <v>758</v>
      </c>
      <c r="B158" s="9" t="s">
        <v>817</v>
      </c>
      <c r="C158" s="9" t="s">
        <v>407</v>
      </c>
      <c r="D158" s="9" t="s">
        <v>758</v>
      </c>
      <c r="E158" s="9" t="s">
        <v>818</v>
      </c>
      <c r="F158" s="13" t="s">
        <v>128</v>
      </c>
      <c r="G158" s="9"/>
      <c r="H158" s="9" t="s">
        <v>393</v>
      </c>
      <c r="I158" s="9" t="s">
        <v>39</v>
      </c>
      <c r="J158" s="9" t="n">
        <v>1</v>
      </c>
      <c r="K158" s="9" t="s">
        <v>1369</v>
      </c>
    </row>
    <row r="159" customFormat="false" ht="15" hidden="false" customHeight="false" outlineLevel="0" collapsed="false">
      <c r="A159" s="10" t="s">
        <v>758</v>
      </c>
      <c r="B159" s="10" t="s">
        <v>819</v>
      </c>
      <c r="C159" s="10" t="s">
        <v>490</v>
      </c>
      <c r="D159" s="10" t="s">
        <v>758</v>
      </c>
      <c r="E159" s="10" t="s">
        <v>821</v>
      </c>
      <c r="F159" s="15" t="s">
        <v>161</v>
      </c>
      <c r="G159" s="10"/>
      <c r="H159" s="10" t="s">
        <v>455</v>
      </c>
      <c r="I159" s="10" t="s">
        <v>43</v>
      </c>
      <c r="J159" s="10" t="n">
        <v>3</v>
      </c>
      <c r="K159" s="10" t="s">
        <v>1370</v>
      </c>
    </row>
    <row r="160" customFormat="false" ht="15" hidden="false" customHeight="false" outlineLevel="0" collapsed="false">
      <c r="A160" s="9" t="s">
        <v>758</v>
      </c>
      <c r="B160" s="9" t="s">
        <v>822</v>
      </c>
      <c r="C160" s="9" t="s">
        <v>624</v>
      </c>
      <c r="D160" s="9" t="s">
        <v>758</v>
      </c>
      <c r="E160" s="9" t="s">
        <v>823</v>
      </c>
      <c r="F160" s="16" t="s">
        <v>192</v>
      </c>
      <c r="G160" s="9"/>
      <c r="H160" s="9" t="s">
        <v>579</v>
      </c>
      <c r="I160" s="9" t="s">
        <v>43</v>
      </c>
      <c r="J160" s="9" t="n">
        <v>7</v>
      </c>
      <c r="K160" s="9" t="s">
        <v>1370</v>
      </c>
    </row>
    <row r="161" customFormat="false" ht="15" hidden="false" customHeight="false" outlineLevel="0" collapsed="false">
      <c r="A161" s="10" t="s">
        <v>758</v>
      </c>
      <c r="B161" s="10" t="s">
        <v>824</v>
      </c>
      <c r="C161" s="10" t="s">
        <v>426</v>
      </c>
      <c r="D161" s="10" t="s">
        <v>758</v>
      </c>
      <c r="E161" s="10" t="s">
        <v>825</v>
      </c>
      <c r="F161" s="13" t="s">
        <v>128</v>
      </c>
      <c r="G161" s="10"/>
      <c r="H161" s="10" t="s">
        <v>424</v>
      </c>
      <c r="I161" s="10" t="s">
        <v>41</v>
      </c>
      <c r="J161" s="10" t="n">
        <v>1</v>
      </c>
      <c r="K161" s="10" t="s">
        <v>1370</v>
      </c>
    </row>
  </sheetData>
  <autoFilter ref="A1:K1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0"/>
  </cols>
  <sheetData>
    <row r="1" customFormat="false" ht="30" hidden="false" customHeight="true" outlineLevel="0" collapsed="false">
      <c r="A1" s="8" t="s">
        <v>1371</v>
      </c>
      <c r="B1" s="8" t="s">
        <v>66</v>
      </c>
    </row>
    <row r="2" customFormat="false" ht="15" hidden="false" customHeight="false" outlineLevel="0" collapsed="false">
      <c r="A2" s="9" t="s">
        <v>1372</v>
      </c>
      <c r="B2" s="9" t="s">
        <v>1373</v>
      </c>
    </row>
    <row r="3" customFormat="false" ht="28.35" hidden="false" customHeight="false" outlineLevel="0" collapsed="false">
      <c r="A3" s="10" t="s">
        <v>1374</v>
      </c>
      <c r="B3" s="10" t="s">
        <v>1375</v>
      </c>
    </row>
    <row r="4" customFormat="false" ht="15" hidden="false" customHeight="false" outlineLevel="0" collapsed="false">
      <c r="A4" s="9" t="s">
        <v>1376</v>
      </c>
      <c r="B4" s="9" t="s">
        <v>1377</v>
      </c>
    </row>
    <row r="5" customFormat="false" ht="28.35" hidden="false" customHeight="false" outlineLevel="0" collapsed="false">
      <c r="A5" s="10" t="s">
        <v>1378</v>
      </c>
      <c r="B5" s="10" t="s">
        <v>1379</v>
      </c>
    </row>
    <row r="6" customFormat="false" ht="28.35" hidden="false" customHeight="false" outlineLevel="0" collapsed="false">
      <c r="A6" s="9" t="s">
        <v>1380</v>
      </c>
      <c r="B6" s="9" t="s">
        <v>1381</v>
      </c>
    </row>
    <row r="7" customFormat="false" ht="15" hidden="false" customHeight="false" outlineLevel="0" collapsed="false">
      <c r="A7" s="10" t="s">
        <v>1382</v>
      </c>
      <c r="B7" s="10" t="s">
        <v>1383</v>
      </c>
    </row>
    <row r="8" customFormat="false" ht="15" hidden="false" customHeight="false" outlineLevel="0" collapsed="false">
      <c r="A8" s="9" t="s">
        <v>1384</v>
      </c>
      <c r="B8" s="9" t="s">
        <v>1385</v>
      </c>
    </row>
    <row r="9" customFormat="false" ht="15" hidden="false" customHeight="false" outlineLevel="0" collapsed="false">
      <c r="A9" s="10" t="s">
        <v>1386</v>
      </c>
      <c r="B9" s="10" t="s">
        <v>1387</v>
      </c>
    </row>
    <row r="10" customFormat="false" ht="15" hidden="false" customHeight="false" outlineLevel="0" collapsed="false">
      <c r="A10" s="9" t="s">
        <v>1388</v>
      </c>
      <c r="B10" s="9" t="s">
        <v>1389</v>
      </c>
    </row>
    <row r="11" customFormat="false" ht="15" hidden="false" customHeight="false" outlineLevel="0" collapsed="false">
      <c r="A11" s="10" t="s">
        <v>1390</v>
      </c>
      <c r="B11" s="10" t="s">
        <v>1391</v>
      </c>
    </row>
  </sheetData>
  <autoFilter ref="A1:B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0"/>
    <col collapsed="false" customWidth="true" hidden="false" outlineLevel="0" max="3" min="3" style="0" width="44"/>
    <col collapsed="false" customWidth="true" hidden="false" outlineLevel="0" max="4" min="4" style="0" width="52"/>
    <col collapsed="false" customWidth="true" hidden="false" outlineLevel="0" max="5" min="5" style="0" width="13"/>
  </cols>
  <sheetData>
    <row r="1" customFormat="false" ht="30" hidden="false" customHeight="true" outlineLevel="0" collapsed="false">
      <c r="A1" s="8" t="s">
        <v>1392</v>
      </c>
      <c r="B1" s="8" t="s">
        <v>1393</v>
      </c>
      <c r="C1" s="8" t="s">
        <v>1185</v>
      </c>
      <c r="D1" s="8" t="s">
        <v>1394</v>
      </c>
      <c r="E1" s="8" t="s">
        <v>123</v>
      </c>
    </row>
    <row r="2" customFormat="false" ht="28.35" hidden="false" customHeight="false" outlineLevel="0" collapsed="false">
      <c r="A2" s="9" t="s">
        <v>1395</v>
      </c>
      <c r="B2" s="9" t="s">
        <v>1396</v>
      </c>
      <c r="C2" s="9" t="s">
        <v>1397</v>
      </c>
      <c r="D2" s="9" t="s">
        <v>1398</v>
      </c>
      <c r="E2" s="16" t="s">
        <v>1399</v>
      </c>
    </row>
    <row r="3" customFormat="false" ht="15" hidden="false" customHeight="false" outlineLevel="0" collapsed="false">
      <c r="A3" s="10" t="s">
        <v>1400</v>
      </c>
      <c r="B3" s="10" t="s">
        <v>1401</v>
      </c>
      <c r="C3" s="10" t="s">
        <v>1402</v>
      </c>
      <c r="D3" s="10" t="s">
        <v>1403</v>
      </c>
      <c r="E3" s="16" t="s">
        <v>1399</v>
      </c>
    </row>
    <row r="4" customFormat="false" ht="15" hidden="false" customHeight="false" outlineLevel="0" collapsed="false">
      <c r="A4" s="9" t="s">
        <v>1404</v>
      </c>
      <c r="B4" s="9" t="s">
        <v>1405</v>
      </c>
      <c r="C4" s="9" t="s">
        <v>1406</v>
      </c>
      <c r="D4" s="9" t="s">
        <v>1407</v>
      </c>
      <c r="E4" s="16" t="s">
        <v>1399</v>
      </c>
    </row>
    <row r="5" customFormat="false" ht="28.35" hidden="false" customHeight="false" outlineLevel="0" collapsed="false">
      <c r="A5" s="10" t="s">
        <v>1408</v>
      </c>
      <c r="B5" s="10" t="s">
        <v>1409</v>
      </c>
      <c r="C5" s="10" t="s">
        <v>1410</v>
      </c>
      <c r="D5" s="10" t="s">
        <v>1411</v>
      </c>
      <c r="E5" s="25" t="s">
        <v>1412</v>
      </c>
    </row>
    <row r="6" customFormat="false" ht="15" hidden="false" customHeight="false" outlineLevel="0" collapsed="false">
      <c r="A6" s="9" t="s">
        <v>1413</v>
      </c>
      <c r="B6" s="9" t="s">
        <v>1414</v>
      </c>
      <c r="C6" s="9" t="s">
        <v>1415</v>
      </c>
      <c r="D6" s="9" t="s">
        <v>1416</v>
      </c>
      <c r="E6" s="25" t="s">
        <v>1412</v>
      </c>
    </row>
    <row r="7" customFormat="false" ht="28.35" hidden="false" customHeight="false" outlineLevel="0" collapsed="false">
      <c r="A7" s="10" t="s">
        <v>1417</v>
      </c>
      <c r="B7" s="10" t="s">
        <v>1418</v>
      </c>
      <c r="C7" s="10" t="s">
        <v>1419</v>
      </c>
      <c r="D7" s="10" t="s">
        <v>1420</v>
      </c>
      <c r="E7" s="25" t="s">
        <v>1412</v>
      </c>
    </row>
    <row r="8" customFormat="false" ht="28.35" hidden="false" customHeight="false" outlineLevel="0" collapsed="false">
      <c r="A8" s="9" t="s">
        <v>1421</v>
      </c>
      <c r="B8" s="9" t="s">
        <v>1422</v>
      </c>
      <c r="C8" s="9" t="s">
        <v>1423</v>
      </c>
      <c r="D8" s="9" t="s">
        <v>1424</v>
      </c>
      <c r="E8" s="25" t="s">
        <v>1412</v>
      </c>
    </row>
    <row r="9" customFormat="false" ht="28.35" hidden="false" customHeight="false" outlineLevel="0" collapsed="false">
      <c r="A9" s="10" t="s">
        <v>1425</v>
      </c>
      <c r="B9" s="10" t="s">
        <v>1426</v>
      </c>
      <c r="C9" s="10" t="s">
        <v>1427</v>
      </c>
      <c r="D9" s="10" t="s">
        <v>1428</v>
      </c>
      <c r="E9" s="25" t="s">
        <v>1412</v>
      </c>
    </row>
    <row r="10" customFormat="false" ht="15" hidden="false" customHeight="false" outlineLevel="0" collapsed="false">
      <c r="A10" s="9" t="s">
        <v>1429</v>
      </c>
      <c r="B10" s="9" t="s">
        <v>1430</v>
      </c>
      <c r="C10" s="9" t="s">
        <v>1431</v>
      </c>
      <c r="D10" s="9" t="s">
        <v>1432</v>
      </c>
      <c r="E10" s="25" t="s">
        <v>1412</v>
      </c>
    </row>
    <row r="11" customFormat="false" ht="28.35" hidden="false" customHeight="false" outlineLevel="0" collapsed="false">
      <c r="A11" s="10" t="s">
        <v>1433</v>
      </c>
      <c r="B11" s="10" t="s">
        <v>1434</v>
      </c>
      <c r="C11" s="10" t="s">
        <v>1435</v>
      </c>
      <c r="D11" s="10" t="s">
        <v>1436</v>
      </c>
      <c r="E11" s="16" t="s">
        <v>1399</v>
      </c>
    </row>
    <row r="12" customFormat="false" ht="15" hidden="false" customHeight="false" outlineLevel="0" collapsed="false">
      <c r="A12" s="9" t="s">
        <v>1437</v>
      </c>
      <c r="B12" s="9" t="s">
        <v>1438</v>
      </c>
      <c r="C12" s="9" t="s">
        <v>1439</v>
      </c>
      <c r="D12" s="9" t="s">
        <v>1440</v>
      </c>
      <c r="E12" s="16" t="s">
        <v>1399</v>
      </c>
    </row>
    <row r="13" customFormat="false" ht="15" hidden="false" customHeight="false" outlineLevel="0" collapsed="false">
      <c r="A13" s="10" t="s">
        <v>1441</v>
      </c>
      <c r="B13" s="10" t="s">
        <v>1442</v>
      </c>
      <c r="C13" s="10" t="s">
        <v>1443</v>
      </c>
      <c r="D13" s="10" t="s">
        <v>1444</v>
      </c>
      <c r="E13" s="16" t="s">
        <v>1399</v>
      </c>
    </row>
    <row r="14" customFormat="false" ht="15" hidden="false" customHeight="false" outlineLevel="0" collapsed="false">
      <c r="A14" s="9" t="s">
        <v>1445</v>
      </c>
      <c r="B14" s="9" t="s">
        <v>1446</v>
      </c>
      <c r="C14" s="9" t="s">
        <v>1447</v>
      </c>
      <c r="D14" s="9" t="s">
        <v>1448</v>
      </c>
      <c r="E14" s="25" t="s">
        <v>1412</v>
      </c>
    </row>
    <row r="15" customFormat="false" ht="15" hidden="false" customHeight="false" outlineLevel="0" collapsed="false">
      <c r="A15" s="10" t="s">
        <v>1449</v>
      </c>
      <c r="B15" s="10" t="s">
        <v>1450</v>
      </c>
      <c r="C15" s="10" t="s">
        <v>1451</v>
      </c>
      <c r="D15" s="10" t="s">
        <v>1452</v>
      </c>
      <c r="E15" s="25" t="s">
        <v>1412</v>
      </c>
    </row>
    <row r="16" customFormat="false" ht="28.35" hidden="false" customHeight="false" outlineLevel="0" collapsed="false">
      <c r="A16" s="9" t="s">
        <v>1453</v>
      </c>
      <c r="B16" s="9" t="s">
        <v>1454</v>
      </c>
      <c r="C16" s="9" t="s">
        <v>1455</v>
      </c>
      <c r="D16" s="9" t="s">
        <v>1456</v>
      </c>
      <c r="E16" s="16" t="s">
        <v>1399</v>
      </c>
    </row>
  </sheetData>
  <autoFilter ref="A1:E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2026-10-26T16:54:22Z</dcterms:created>
  <dc:creator>openpyxl</dc:creator>
  <dc:description/>
  <dc:language>en-US</dc:language>
  <cp:lastModifiedBy/>
  <dcterms:modified xsi:type="dcterms:W3CDTF">2026-10-26T16:54:22Z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